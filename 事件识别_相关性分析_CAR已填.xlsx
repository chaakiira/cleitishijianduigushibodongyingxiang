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179c4940bf376b/Desktop/"/>
    </mc:Choice>
  </mc:AlternateContent>
  <xr:revisionPtr revIDLastSave="1" documentId="8_{DE71872C-2940-4013-B24F-A5A247C10BC0}" xr6:coauthVersionLast="47" xr6:coauthVersionMax="47" xr10:uidLastSave="{FB119F5A-FA6B-4EF9-BB1F-4EDEEADD4664}"/>
  <bookViews>
    <workbookView xWindow="-110" yWindow="-110" windowWidth="25820" windowHeight="15500" activeTab="5" xr2:uid="{00000000-000D-0000-FFFF-FFFF00000000}"/>
  </bookViews>
  <sheets>
    <sheet name="事件总表（增强版）" sheetId="1" r:id="rId1"/>
    <sheet name="Python分析模板" sheetId="2" r:id="rId2"/>
    <sheet name="字段说明" sheetId="3" r:id="rId3"/>
    <sheet name="特征矩阵" sheetId="4" r:id="rId4"/>
    <sheet name="相关性分析" sheetId="5" r:id="rId5"/>
    <sheet name="论文写法与Python代码" sheetId="6" r:id="rId6"/>
  </sheets>
  <calcPr calcId="191029"/>
  <fileRecoveryPr repairLoad="1"/>
</workbook>
</file>

<file path=xl/calcChain.xml><?xml version="1.0" encoding="utf-8"?>
<calcChain xmlns="http://schemas.openxmlformats.org/spreadsheetml/2006/main">
  <c r="A14" i="4" l="1"/>
  <c r="B14" i="4"/>
  <c r="C14" i="4"/>
  <c r="O14" i="4" s="1"/>
  <c r="D14" i="4"/>
  <c r="E14" i="4"/>
  <c r="F14" i="4"/>
  <c r="G14" i="4" s="1"/>
  <c r="H14" i="4"/>
  <c r="I14" i="4" s="1"/>
  <c r="J14" i="4"/>
  <c r="K14" i="4"/>
  <c r="M14" i="4"/>
  <c r="N14" i="4"/>
  <c r="A15" i="4"/>
  <c r="B15" i="4"/>
  <c r="C15" i="4"/>
  <c r="M15" i="4" s="1"/>
  <c r="D15" i="4"/>
  <c r="E15" i="4"/>
  <c r="F15" i="4"/>
  <c r="G15" i="4" s="1"/>
  <c r="H15" i="4"/>
  <c r="I15" i="4"/>
  <c r="J15" i="4"/>
  <c r="K15" i="4"/>
  <c r="N15" i="4"/>
  <c r="O15" i="4"/>
  <c r="A16" i="4"/>
  <c r="B16" i="4"/>
  <c r="C16" i="4"/>
  <c r="M16" i="4" s="1"/>
  <c r="D16" i="4"/>
  <c r="E16" i="4"/>
  <c r="F16" i="4"/>
  <c r="G16" i="4"/>
  <c r="H16" i="4"/>
  <c r="I16" i="4" s="1"/>
  <c r="J16" i="4"/>
  <c r="K16" i="4" s="1"/>
  <c r="A17" i="4"/>
  <c r="B17" i="4"/>
  <c r="C17" i="4"/>
  <c r="D17" i="4"/>
  <c r="E17" i="4"/>
  <c r="F17" i="4"/>
  <c r="G17" i="4"/>
  <c r="H17" i="4"/>
  <c r="I17" i="4" s="1"/>
  <c r="J17" i="4"/>
  <c r="K17" i="4" s="1"/>
  <c r="M17" i="4"/>
  <c r="N17" i="4"/>
  <c r="O17" i="4"/>
  <c r="A18" i="4"/>
  <c r="B18" i="4"/>
  <c r="C18" i="4"/>
  <c r="O18" i="4" s="1"/>
  <c r="D18" i="4"/>
  <c r="E18" i="4"/>
  <c r="F18" i="4"/>
  <c r="H18" i="4"/>
  <c r="I18" i="4" s="1"/>
  <c r="J18" i="4"/>
  <c r="K18" i="4"/>
  <c r="A19" i="4"/>
  <c r="B19" i="4"/>
  <c r="C19" i="4"/>
  <c r="N19" i="4" s="1"/>
  <c r="D19" i="4"/>
  <c r="E19" i="4"/>
  <c r="F19" i="4"/>
  <c r="G19" i="4"/>
  <c r="H19" i="4"/>
  <c r="I19" i="4" s="1"/>
  <c r="J19" i="4"/>
  <c r="K19" i="4" s="1"/>
  <c r="A20" i="4"/>
  <c r="B20" i="4"/>
  <c r="C20" i="4"/>
  <c r="N20" i="4" s="1"/>
  <c r="D20" i="4"/>
  <c r="E20" i="4"/>
  <c r="F20" i="4"/>
  <c r="G20" i="4" s="1"/>
  <c r="H20" i="4"/>
  <c r="I20" i="4"/>
  <c r="J20" i="4"/>
  <c r="K20" i="4" s="1"/>
  <c r="M20" i="4"/>
  <c r="A21" i="4"/>
  <c r="B21" i="4"/>
  <c r="C21" i="4"/>
  <c r="M21" i="4" s="1"/>
  <c r="D21" i="4"/>
  <c r="E21" i="4"/>
  <c r="G21" i="4" s="1"/>
  <c r="F21" i="4"/>
  <c r="H21" i="4"/>
  <c r="I21" i="4" s="1"/>
  <c r="J21" i="4"/>
  <c r="K21" i="4"/>
  <c r="O21" i="4"/>
  <c r="A22" i="4"/>
  <c r="B22" i="4"/>
  <c r="C22" i="4"/>
  <c r="M22" i="4" s="1"/>
  <c r="D22" i="4"/>
  <c r="E22" i="4"/>
  <c r="F22" i="4"/>
  <c r="G22" i="4"/>
  <c r="H22" i="4"/>
  <c r="I22" i="4" s="1"/>
  <c r="J22" i="4"/>
  <c r="K22" i="4"/>
  <c r="A23" i="4"/>
  <c r="B23" i="4"/>
  <c r="C23" i="4"/>
  <c r="M23" i="4" s="1"/>
  <c r="D23" i="4"/>
  <c r="E23" i="4"/>
  <c r="G23" i="4" s="1"/>
  <c r="F23" i="4"/>
  <c r="H23" i="4"/>
  <c r="I23" i="4" s="1"/>
  <c r="J23" i="4"/>
  <c r="K23" i="4"/>
  <c r="N23" i="4"/>
  <c r="A24" i="4"/>
  <c r="B24" i="4"/>
  <c r="C24" i="4"/>
  <c r="M24" i="4" s="1"/>
  <c r="D24" i="4"/>
  <c r="E24" i="4"/>
  <c r="F24" i="4"/>
  <c r="G24" i="4" s="1"/>
  <c r="H24" i="4"/>
  <c r="I24" i="4" s="1"/>
  <c r="J24" i="4"/>
  <c r="K24" i="4" s="1"/>
  <c r="A25" i="4"/>
  <c r="B25" i="4"/>
  <c r="C25" i="4"/>
  <c r="M25" i="4" s="1"/>
  <c r="D25" i="4"/>
  <c r="E25" i="4"/>
  <c r="F25" i="4"/>
  <c r="G25" i="4" s="1"/>
  <c r="H25" i="4"/>
  <c r="I25" i="4" s="1"/>
  <c r="J25" i="4"/>
  <c r="K25" i="4"/>
  <c r="A26" i="4"/>
  <c r="B26" i="4"/>
  <c r="C26" i="4"/>
  <c r="M26" i="4" s="1"/>
  <c r="D26" i="4"/>
  <c r="E26" i="4"/>
  <c r="F26" i="4"/>
  <c r="H26" i="4"/>
  <c r="I26" i="4"/>
  <c r="J26" i="4"/>
  <c r="K26" i="4" s="1"/>
  <c r="I43" i="5"/>
  <c r="H43" i="5"/>
  <c r="G43" i="5"/>
  <c r="F43" i="5"/>
  <c r="D43" i="5"/>
  <c r="I42" i="5"/>
  <c r="H42" i="5"/>
  <c r="G42" i="5"/>
  <c r="F42" i="5"/>
  <c r="D42" i="5"/>
  <c r="I41" i="5"/>
  <c r="H41" i="5"/>
  <c r="G41" i="5"/>
  <c r="F41" i="5"/>
  <c r="D41" i="5"/>
  <c r="I40" i="5"/>
  <c r="H40" i="5"/>
  <c r="G40" i="5"/>
  <c r="F40" i="5"/>
  <c r="D40" i="5"/>
  <c r="I38" i="5"/>
  <c r="H38" i="5"/>
  <c r="G38" i="5"/>
  <c r="F38" i="5"/>
  <c r="D38" i="5"/>
  <c r="J100" i="4"/>
  <c r="K100" i="4" s="1"/>
  <c r="H100" i="4"/>
  <c r="I100" i="4" s="1"/>
  <c r="F100" i="4"/>
  <c r="E100" i="4"/>
  <c r="D100" i="4"/>
  <c r="C100" i="4"/>
  <c r="O100" i="4" s="1"/>
  <c r="B100" i="4"/>
  <c r="A100" i="4"/>
  <c r="J99" i="4"/>
  <c r="K99" i="4" s="1"/>
  <c r="H99" i="4"/>
  <c r="I99" i="4" s="1"/>
  <c r="F99" i="4"/>
  <c r="E99" i="4"/>
  <c r="D99" i="4"/>
  <c r="C99" i="4"/>
  <c r="O99" i="4" s="1"/>
  <c r="B99" i="4"/>
  <c r="A99" i="4"/>
  <c r="J98" i="4"/>
  <c r="K98" i="4" s="1"/>
  <c r="H98" i="4"/>
  <c r="I98" i="4" s="1"/>
  <c r="F98" i="4"/>
  <c r="E98" i="4"/>
  <c r="D98" i="4"/>
  <c r="C98" i="4"/>
  <c r="O98" i="4" s="1"/>
  <c r="B98" i="4"/>
  <c r="A98" i="4"/>
  <c r="J97" i="4"/>
  <c r="K97" i="4" s="1"/>
  <c r="H97" i="4"/>
  <c r="I97" i="4" s="1"/>
  <c r="F97" i="4"/>
  <c r="E97" i="4"/>
  <c r="D97" i="4"/>
  <c r="C97" i="4"/>
  <c r="O97" i="4" s="1"/>
  <c r="B97" i="4"/>
  <c r="A97" i="4"/>
  <c r="J96" i="4"/>
  <c r="K96" i="4" s="1"/>
  <c r="H96" i="4"/>
  <c r="I96" i="4" s="1"/>
  <c r="F96" i="4"/>
  <c r="E96" i="4"/>
  <c r="D96" i="4"/>
  <c r="C96" i="4"/>
  <c r="M96" i="4" s="1"/>
  <c r="B96" i="4"/>
  <c r="A96" i="4"/>
  <c r="J95" i="4"/>
  <c r="K95" i="4" s="1"/>
  <c r="H95" i="4"/>
  <c r="I95" i="4" s="1"/>
  <c r="F95" i="4"/>
  <c r="E95" i="4"/>
  <c r="G95" i="4" s="1"/>
  <c r="D95" i="4"/>
  <c r="C95" i="4"/>
  <c r="O95" i="4" s="1"/>
  <c r="B95" i="4"/>
  <c r="A95" i="4"/>
  <c r="J94" i="4"/>
  <c r="K94" i="4" s="1"/>
  <c r="H94" i="4"/>
  <c r="I94" i="4" s="1"/>
  <c r="F94" i="4"/>
  <c r="E94" i="4"/>
  <c r="D94" i="4"/>
  <c r="C94" i="4"/>
  <c r="O94" i="4" s="1"/>
  <c r="B94" i="4"/>
  <c r="A94" i="4"/>
  <c r="J93" i="4"/>
  <c r="K93" i="4" s="1"/>
  <c r="H93" i="4"/>
  <c r="I93" i="4" s="1"/>
  <c r="F93" i="4"/>
  <c r="E93" i="4"/>
  <c r="D93" i="4"/>
  <c r="C93" i="4"/>
  <c r="M93" i="4" s="1"/>
  <c r="B93" i="4"/>
  <c r="A93" i="4"/>
  <c r="J92" i="4"/>
  <c r="K92" i="4" s="1"/>
  <c r="H92" i="4"/>
  <c r="I92" i="4" s="1"/>
  <c r="F92" i="4"/>
  <c r="E92" i="4"/>
  <c r="D92" i="4"/>
  <c r="C92" i="4"/>
  <c r="M92" i="4" s="1"/>
  <c r="B92" i="4"/>
  <c r="A92" i="4"/>
  <c r="J91" i="4"/>
  <c r="K91" i="4" s="1"/>
  <c r="H91" i="4"/>
  <c r="I91" i="4" s="1"/>
  <c r="F91" i="4"/>
  <c r="E91" i="4"/>
  <c r="D91" i="4"/>
  <c r="C91" i="4"/>
  <c r="M91" i="4" s="1"/>
  <c r="B91" i="4"/>
  <c r="A91" i="4"/>
  <c r="J90" i="4"/>
  <c r="K90" i="4" s="1"/>
  <c r="H90" i="4"/>
  <c r="I90" i="4" s="1"/>
  <c r="F90" i="4"/>
  <c r="E90" i="4"/>
  <c r="D90" i="4"/>
  <c r="C90" i="4"/>
  <c r="O90" i="4" s="1"/>
  <c r="B90" i="4"/>
  <c r="A90" i="4"/>
  <c r="J89" i="4"/>
  <c r="K89" i="4" s="1"/>
  <c r="H89" i="4"/>
  <c r="I89" i="4" s="1"/>
  <c r="F89" i="4"/>
  <c r="E89" i="4"/>
  <c r="D89" i="4"/>
  <c r="C89" i="4"/>
  <c r="O89" i="4" s="1"/>
  <c r="B89" i="4"/>
  <c r="A89" i="4"/>
  <c r="J88" i="4"/>
  <c r="K88" i="4" s="1"/>
  <c r="H88" i="4"/>
  <c r="I88" i="4" s="1"/>
  <c r="F88" i="4"/>
  <c r="E88" i="4"/>
  <c r="D88" i="4"/>
  <c r="C88" i="4"/>
  <c r="N88" i="4" s="1"/>
  <c r="B88" i="4"/>
  <c r="A88" i="4"/>
  <c r="J87" i="4"/>
  <c r="K87" i="4" s="1"/>
  <c r="H87" i="4"/>
  <c r="I87" i="4" s="1"/>
  <c r="F87" i="4"/>
  <c r="E87" i="4"/>
  <c r="D87" i="4"/>
  <c r="C87" i="4"/>
  <c r="O87" i="4" s="1"/>
  <c r="B87" i="4"/>
  <c r="A87" i="4"/>
  <c r="J86" i="4"/>
  <c r="K86" i="4" s="1"/>
  <c r="H86" i="4"/>
  <c r="I86" i="4" s="1"/>
  <c r="F86" i="4"/>
  <c r="E86" i="4"/>
  <c r="D86" i="4"/>
  <c r="C86" i="4"/>
  <c r="O86" i="4" s="1"/>
  <c r="B86" i="4"/>
  <c r="A86" i="4"/>
  <c r="J85" i="4"/>
  <c r="K85" i="4" s="1"/>
  <c r="H85" i="4"/>
  <c r="I85" i="4" s="1"/>
  <c r="F85" i="4"/>
  <c r="E85" i="4"/>
  <c r="D85" i="4"/>
  <c r="C85" i="4"/>
  <c r="O85" i="4" s="1"/>
  <c r="B85" i="4"/>
  <c r="A85" i="4"/>
  <c r="J84" i="4"/>
  <c r="K84" i="4" s="1"/>
  <c r="H84" i="4"/>
  <c r="I84" i="4" s="1"/>
  <c r="F84" i="4"/>
  <c r="E84" i="4"/>
  <c r="D84" i="4"/>
  <c r="C84" i="4"/>
  <c r="O84" i="4" s="1"/>
  <c r="B84" i="4"/>
  <c r="A84" i="4"/>
  <c r="J83" i="4"/>
  <c r="K83" i="4" s="1"/>
  <c r="H83" i="4"/>
  <c r="I83" i="4" s="1"/>
  <c r="F83" i="4"/>
  <c r="E83" i="4"/>
  <c r="D83" i="4"/>
  <c r="C83" i="4"/>
  <c r="O83" i="4" s="1"/>
  <c r="B83" i="4"/>
  <c r="A83" i="4"/>
  <c r="J82" i="4"/>
  <c r="K82" i="4" s="1"/>
  <c r="H82" i="4"/>
  <c r="I82" i="4" s="1"/>
  <c r="F82" i="4"/>
  <c r="E82" i="4"/>
  <c r="D82" i="4"/>
  <c r="C82" i="4"/>
  <c r="O82" i="4" s="1"/>
  <c r="B82" i="4"/>
  <c r="A82" i="4"/>
  <c r="J81" i="4"/>
  <c r="K81" i="4" s="1"/>
  <c r="H81" i="4"/>
  <c r="I81" i="4" s="1"/>
  <c r="F81" i="4"/>
  <c r="E81" i="4"/>
  <c r="D81" i="4"/>
  <c r="C81" i="4"/>
  <c r="O81" i="4" s="1"/>
  <c r="B81" i="4"/>
  <c r="A81" i="4"/>
  <c r="J80" i="4"/>
  <c r="K80" i="4" s="1"/>
  <c r="H80" i="4"/>
  <c r="I80" i="4" s="1"/>
  <c r="F80" i="4"/>
  <c r="E80" i="4"/>
  <c r="D80" i="4"/>
  <c r="C80" i="4"/>
  <c r="M80" i="4" s="1"/>
  <c r="B80" i="4"/>
  <c r="A80" i="4"/>
  <c r="J79" i="4"/>
  <c r="K79" i="4" s="1"/>
  <c r="H79" i="4"/>
  <c r="I79" i="4" s="1"/>
  <c r="F79" i="4"/>
  <c r="E79" i="4"/>
  <c r="G79" i="4" s="1"/>
  <c r="D79" i="4"/>
  <c r="C79" i="4"/>
  <c r="N79" i="4" s="1"/>
  <c r="B79" i="4"/>
  <c r="A79" i="4"/>
  <c r="J78" i="4"/>
  <c r="K78" i="4" s="1"/>
  <c r="H78" i="4"/>
  <c r="I78" i="4" s="1"/>
  <c r="F78" i="4"/>
  <c r="E78" i="4"/>
  <c r="D78" i="4"/>
  <c r="C78" i="4"/>
  <c r="O78" i="4" s="1"/>
  <c r="B78" i="4"/>
  <c r="A78" i="4"/>
  <c r="J77" i="4"/>
  <c r="K77" i="4" s="1"/>
  <c r="H77" i="4"/>
  <c r="I77" i="4" s="1"/>
  <c r="F77" i="4"/>
  <c r="E77" i="4"/>
  <c r="D77" i="4"/>
  <c r="C77" i="4"/>
  <c r="M77" i="4" s="1"/>
  <c r="B77" i="4"/>
  <c r="A77" i="4"/>
  <c r="J76" i="4"/>
  <c r="K76" i="4" s="1"/>
  <c r="H76" i="4"/>
  <c r="I76" i="4" s="1"/>
  <c r="F76" i="4"/>
  <c r="E76" i="4"/>
  <c r="D76" i="4"/>
  <c r="C76" i="4"/>
  <c r="M76" i="4" s="1"/>
  <c r="B76" i="4"/>
  <c r="A76" i="4"/>
  <c r="J75" i="4"/>
  <c r="K75" i="4" s="1"/>
  <c r="H75" i="4"/>
  <c r="I75" i="4" s="1"/>
  <c r="F75" i="4"/>
  <c r="E75" i="4"/>
  <c r="D75" i="4"/>
  <c r="C75" i="4"/>
  <c r="M75" i="4" s="1"/>
  <c r="B75" i="4"/>
  <c r="A75" i="4"/>
  <c r="J74" i="4"/>
  <c r="K74" i="4" s="1"/>
  <c r="H74" i="4"/>
  <c r="I74" i="4" s="1"/>
  <c r="F74" i="4"/>
  <c r="E74" i="4"/>
  <c r="D74" i="4"/>
  <c r="C74" i="4"/>
  <c r="O74" i="4" s="1"/>
  <c r="B74" i="4"/>
  <c r="A74" i="4"/>
  <c r="J73" i="4"/>
  <c r="K73" i="4" s="1"/>
  <c r="H73" i="4"/>
  <c r="I73" i="4" s="1"/>
  <c r="F73" i="4"/>
  <c r="E73" i="4"/>
  <c r="D73" i="4"/>
  <c r="C73" i="4"/>
  <c r="O73" i="4" s="1"/>
  <c r="B73" i="4"/>
  <c r="A73" i="4"/>
  <c r="J72" i="4"/>
  <c r="K72" i="4" s="1"/>
  <c r="H72" i="4"/>
  <c r="I72" i="4" s="1"/>
  <c r="F72" i="4"/>
  <c r="E72" i="4"/>
  <c r="D72" i="4"/>
  <c r="C72" i="4"/>
  <c r="N72" i="4" s="1"/>
  <c r="B72" i="4"/>
  <c r="A72" i="4"/>
  <c r="J71" i="4"/>
  <c r="K71" i="4" s="1"/>
  <c r="H71" i="4"/>
  <c r="I71" i="4" s="1"/>
  <c r="F71" i="4"/>
  <c r="E71" i="4"/>
  <c r="D71" i="4"/>
  <c r="C71" i="4"/>
  <c r="O71" i="4" s="1"/>
  <c r="B71" i="4"/>
  <c r="A71" i="4"/>
  <c r="J70" i="4"/>
  <c r="K70" i="4" s="1"/>
  <c r="H70" i="4"/>
  <c r="I70" i="4" s="1"/>
  <c r="F70" i="4"/>
  <c r="E70" i="4"/>
  <c r="D70" i="4"/>
  <c r="C70" i="4"/>
  <c r="O70" i="4" s="1"/>
  <c r="B70" i="4"/>
  <c r="A70" i="4"/>
  <c r="J69" i="4"/>
  <c r="K69" i="4" s="1"/>
  <c r="H69" i="4"/>
  <c r="I69" i="4" s="1"/>
  <c r="F69" i="4"/>
  <c r="E69" i="4"/>
  <c r="D69" i="4"/>
  <c r="C69" i="4"/>
  <c r="O69" i="4" s="1"/>
  <c r="B69" i="4"/>
  <c r="A69" i="4"/>
  <c r="J68" i="4"/>
  <c r="K68" i="4" s="1"/>
  <c r="H68" i="4"/>
  <c r="I68" i="4" s="1"/>
  <c r="F68" i="4"/>
  <c r="E68" i="4"/>
  <c r="D68" i="4"/>
  <c r="C68" i="4"/>
  <c r="O68" i="4" s="1"/>
  <c r="B68" i="4"/>
  <c r="A68" i="4"/>
  <c r="J67" i="4"/>
  <c r="K67" i="4" s="1"/>
  <c r="H67" i="4"/>
  <c r="I67" i="4" s="1"/>
  <c r="F67" i="4"/>
  <c r="E67" i="4"/>
  <c r="D67" i="4"/>
  <c r="C67" i="4"/>
  <c r="M67" i="4" s="1"/>
  <c r="B67" i="4"/>
  <c r="A67" i="4"/>
  <c r="J66" i="4"/>
  <c r="K66" i="4" s="1"/>
  <c r="H66" i="4"/>
  <c r="I66" i="4" s="1"/>
  <c r="F66" i="4"/>
  <c r="E66" i="4"/>
  <c r="D66" i="4"/>
  <c r="C66" i="4"/>
  <c r="O66" i="4" s="1"/>
  <c r="B66" i="4"/>
  <c r="A66" i="4"/>
  <c r="J65" i="4"/>
  <c r="K65" i="4" s="1"/>
  <c r="H65" i="4"/>
  <c r="I65" i="4" s="1"/>
  <c r="F65" i="4"/>
  <c r="E65" i="4"/>
  <c r="D65" i="4"/>
  <c r="C65" i="4"/>
  <c r="O65" i="4" s="1"/>
  <c r="B65" i="4"/>
  <c r="A65" i="4"/>
  <c r="J64" i="4"/>
  <c r="K64" i="4" s="1"/>
  <c r="H64" i="4"/>
  <c r="I64" i="4" s="1"/>
  <c r="F64" i="4"/>
  <c r="E64" i="4"/>
  <c r="D64" i="4"/>
  <c r="C64" i="4"/>
  <c r="M64" i="4" s="1"/>
  <c r="B64" i="4"/>
  <c r="A64" i="4"/>
  <c r="J63" i="4"/>
  <c r="K63" i="4" s="1"/>
  <c r="H63" i="4"/>
  <c r="I63" i="4" s="1"/>
  <c r="F63" i="4"/>
  <c r="E63" i="4"/>
  <c r="D63" i="4"/>
  <c r="C63" i="4"/>
  <c r="O63" i="4" s="1"/>
  <c r="B63" i="4"/>
  <c r="A63" i="4"/>
  <c r="J62" i="4"/>
  <c r="K62" i="4" s="1"/>
  <c r="H62" i="4"/>
  <c r="I62" i="4" s="1"/>
  <c r="F62" i="4"/>
  <c r="E62" i="4"/>
  <c r="D62" i="4"/>
  <c r="C62" i="4"/>
  <c r="O62" i="4" s="1"/>
  <c r="B62" i="4"/>
  <c r="A62" i="4"/>
  <c r="J61" i="4"/>
  <c r="K61" i="4" s="1"/>
  <c r="H61" i="4"/>
  <c r="I61" i="4" s="1"/>
  <c r="F61" i="4"/>
  <c r="E61" i="4"/>
  <c r="D61" i="4"/>
  <c r="C61" i="4"/>
  <c r="M61" i="4" s="1"/>
  <c r="B61" i="4"/>
  <c r="A61" i="4"/>
  <c r="J60" i="4"/>
  <c r="K60" i="4" s="1"/>
  <c r="H60" i="4"/>
  <c r="I60" i="4" s="1"/>
  <c r="F60" i="4"/>
  <c r="E60" i="4"/>
  <c r="D60" i="4"/>
  <c r="C60" i="4"/>
  <c r="M60" i="4" s="1"/>
  <c r="B60" i="4"/>
  <c r="A60" i="4"/>
  <c r="J59" i="4"/>
  <c r="K59" i="4" s="1"/>
  <c r="H59" i="4"/>
  <c r="I59" i="4" s="1"/>
  <c r="F59" i="4"/>
  <c r="E59" i="4"/>
  <c r="D59" i="4"/>
  <c r="C59" i="4"/>
  <c r="M59" i="4" s="1"/>
  <c r="B59" i="4"/>
  <c r="A59" i="4"/>
  <c r="J58" i="4"/>
  <c r="K58" i="4" s="1"/>
  <c r="H58" i="4"/>
  <c r="I58" i="4" s="1"/>
  <c r="F58" i="4"/>
  <c r="E58" i="4"/>
  <c r="D58" i="4"/>
  <c r="C58" i="4"/>
  <c r="O58" i="4" s="1"/>
  <c r="B58" i="4"/>
  <c r="A58" i="4"/>
  <c r="J57" i="4"/>
  <c r="K57" i="4" s="1"/>
  <c r="H57" i="4"/>
  <c r="I57" i="4" s="1"/>
  <c r="F57" i="4"/>
  <c r="E57" i="4"/>
  <c r="D57" i="4"/>
  <c r="C57" i="4"/>
  <c r="O57" i="4" s="1"/>
  <c r="B57" i="4"/>
  <c r="A57" i="4"/>
  <c r="J56" i="4"/>
  <c r="K56" i="4" s="1"/>
  <c r="H56" i="4"/>
  <c r="I56" i="4" s="1"/>
  <c r="F56" i="4"/>
  <c r="E56" i="4"/>
  <c r="D56" i="4"/>
  <c r="C56" i="4"/>
  <c r="O56" i="4" s="1"/>
  <c r="B56" i="4"/>
  <c r="A56" i="4"/>
  <c r="J55" i="4"/>
  <c r="K55" i="4" s="1"/>
  <c r="H55" i="4"/>
  <c r="I55" i="4" s="1"/>
  <c r="F55" i="4"/>
  <c r="E55" i="4"/>
  <c r="D55" i="4"/>
  <c r="C55" i="4"/>
  <c r="N55" i="4" s="1"/>
  <c r="B55" i="4"/>
  <c r="A55" i="4"/>
  <c r="J54" i="4"/>
  <c r="K54" i="4" s="1"/>
  <c r="H54" i="4"/>
  <c r="I54" i="4" s="1"/>
  <c r="F54" i="4"/>
  <c r="E54" i="4"/>
  <c r="D54" i="4"/>
  <c r="C54" i="4"/>
  <c r="O54" i="4" s="1"/>
  <c r="B54" i="4"/>
  <c r="A54" i="4"/>
  <c r="J53" i="4"/>
  <c r="K53" i="4" s="1"/>
  <c r="H53" i="4"/>
  <c r="I53" i="4" s="1"/>
  <c r="F53" i="4"/>
  <c r="E53" i="4"/>
  <c r="D53" i="4"/>
  <c r="C53" i="4"/>
  <c r="O53" i="4" s="1"/>
  <c r="B53" i="4"/>
  <c r="A53" i="4"/>
  <c r="J52" i="4"/>
  <c r="K52" i="4" s="1"/>
  <c r="H52" i="4"/>
  <c r="I52" i="4" s="1"/>
  <c r="F52" i="4"/>
  <c r="E52" i="4"/>
  <c r="D52" i="4"/>
  <c r="C52" i="4"/>
  <c r="O52" i="4" s="1"/>
  <c r="B52" i="4"/>
  <c r="A52" i="4"/>
  <c r="J51" i="4"/>
  <c r="K51" i="4" s="1"/>
  <c r="H51" i="4"/>
  <c r="I51" i="4" s="1"/>
  <c r="F51" i="4"/>
  <c r="E51" i="4"/>
  <c r="D51" i="4"/>
  <c r="C51" i="4"/>
  <c r="M51" i="4" s="1"/>
  <c r="B51" i="4"/>
  <c r="A51" i="4"/>
  <c r="J50" i="4"/>
  <c r="K50" i="4" s="1"/>
  <c r="H50" i="4"/>
  <c r="I50" i="4" s="1"/>
  <c r="F50" i="4"/>
  <c r="E50" i="4"/>
  <c r="D50" i="4"/>
  <c r="C50" i="4"/>
  <c r="O50" i="4" s="1"/>
  <c r="B50" i="4"/>
  <c r="A50" i="4"/>
  <c r="J49" i="4"/>
  <c r="K49" i="4" s="1"/>
  <c r="H49" i="4"/>
  <c r="I49" i="4" s="1"/>
  <c r="F49" i="4"/>
  <c r="E49" i="4"/>
  <c r="D49" i="4"/>
  <c r="C49" i="4"/>
  <c r="O49" i="4" s="1"/>
  <c r="B49" i="4"/>
  <c r="A49" i="4"/>
  <c r="J48" i="4"/>
  <c r="K48" i="4" s="1"/>
  <c r="H48" i="4"/>
  <c r="I48" i="4" s="1"/>
  <c r="F48" i="4"/>
  <c r="E48" i="4"/>
  <c r="D48" i="4"/>
  <c r="C48" i="4"/>
  <c r="M48" i="4" s="1"/>
  <c r="B48" i="4"/>
  <c r="A48" i="4"/>
  <c r="J47" i="4"/>
  <c r="K47" i="4" s="1"/>
  <c r="H47" i="4"/>
  <c r="I47" i="4" s="1"/>
  <c r="F47" i="4"/>
  <c r="E47" i="4"/>
  <c r="G47" i="4" s="1"/>
  <c r="D47" i="4"/>
  <c r="C47" i="4"/>
  <c r="O47" i="4" s="1"/>
  <c r="B47" i="4"/>
  <c r="A47" i="4"/>
  <c r="J46" i="4"/>
  <c r="K46" i="4" s="1"/>
  <c r="H46" i="4"/>
  <c r="I46" i="4" s="1"/>
  <c r="F46" i="4"/>
  <c r="E46" i="4"/>
  <c r="D46" i="4"/>
  <c r="C46" i="4"/>
  <c r="O46" i="4" s="1"/>
  <c r="B46" i="4"/>
  <c r="A46" i="4"/>
  <c r="J45" i="4"/>
  <c r="K45" i="4" s="1"/>
  <c r="H45" i="4"/>
  <c r="I45" i="4" s="1"/>
  <c r="F45" i="4"/>
  <c r="E45" i="4"/>
  <c r="D45" i="4"/>
  <c r="C45" i="4"/>
  <c r="M45" i="4" s="1"/>
  <c r="B45" i="4"/>
  <c r="A45" i="4"/>
  <c r="J44" i="4"/>
  <c r="K44" i="4" s="1"/>
  <c r="H44" i="4"/>
  <c r="I44" i="4" s="1"/>
  <c r="F44" i="4"/>
  <c r="E44" i="4"/>
  <c r="D44" i="4"/>
  <c r="C44" i="4"/>
  <c r="M44" i="4" s="1"/>
  <c r="B44" i="4"/>
  <c r="A44" i="4"/>
  <c r="J43" i="4"/>
  <c r="K43" i="4" s="1"/>
  <c r="H43" i="4"/>
  <c r="I43" i="4" s="1"/>
  <c r="F43" i="4"/>
  <c r="E43" i="4"/>
  <c r="D43" i="4"/>
  <c r="C43" i="4"/>
  <c r="M43" i="4" s="1"/>
  <c r="B43" i="4"/>
  <c r="A43" i="4"/>
  <c r="J42" i="4"/>
  <c r="K42" i="4" s="1"/>
  <c r="H42" i="4"/>
  <c r="I42" i="4" s="1"/>
  <c r="F42" i="4"/>
  <c r="E42" i="4"/>
  <c r="D42" i="4"/>
  <c r="C42" i="4"/>
  <c r="O42" i="4" s="1"/>
  <c r="B42" i="4"/>
  <c r="A42" i="4"/>
  <c r="J41" i="4"/>
  <c r="K41" i="4" s="1"/>
  <c r="H41" i="4"/>
  <c r="I41" i="4" s="1"/>
  <c r="F41" i="4"/>
  <c r="E41" i="4"/>
  <c r="D41" i="4"/>
  <c r="C41" i="4"/>
  <c r="O41" i="4" s="1"/>
  <c r="B41" i="4"/>
  <c r="A41" i="4"/>
  <c r="J40" i="4"/>
  <c r="K40" i="4" s="1"/>
  <c r="H40" i="4"/>
  <c r="I40" i="4" s="1"/>
  <c r="F40" i="4"/>
  <c r="E40" i="4"/>
  <c r="D40" i="4"/>
  <c r="C40" i="4"/>
  <c r="M40" i="4" s="1"/>
  <c r="B40" i="4"/>
  <c r="A40" i="4"/>
  <c r="J39" i="4"/>
  <c r="K39" i="4" s="1"/>
  <c r="H39" i="4"/>
  <c r="I39" i="4" s="1"/>
  <c r="F39" i="4"/>
  <c r="E39" i="4"/>
  <c r="D39" i="4"/>
  <c r="C39" i="4"/>
  <c r="O39" i="4" s="1"/>
  <c r="B39" i="4"/>
  <c r="A39" i="4"/>
  <c r="J38" i="4"/>
  <c r="K38" i="4" s="1"/>
  <c r="H38" i="4"/>
  <c r="I38" i="4" s="1"/>
  <c r="F38" i="4"/>
  <c r="E38" i="4"/>
  <c r="D38" i="4"/>
  <c r="C38" i="4"/>
  <c r="O38" i="4" s="1"/>
  <c r="B38" i="4"/>
  <c r="A38" i="4"/>
  <c r="J37" i="4"/>
  <c r="K37" i="4" s="1"/>
  <c r="H37" i="4"/>
  <c r="I37" i="4" s="1"/>
  <c r="F37" i="4"/>
  <c r="E37" i="4"/>
  <c r="D37" i="4"/>
  <c r="C37" i="4"/>
  <c r="O37" i="4" s="1"/>
  <c r="B37" i="4"/>
  <c r="A37" i="4"/>
  <c r="J36" i="4"/>
  <c r="K36" i="4" s="1"/>
  <c r="H36" i="4"/>
  <c r="I36" i="4" s="1"/>
  <c r="F36" i="4"/>
  <c r="E36" i="4"/>
  <c r="D36" i="4"/>
  <c r="C36" i="4"/>
  <c r="O36" i="4" s="1"/>
  <c r="B36" i="4"/>
  <c r="A36" i="4"/>
  <c r="J35" i="4"/>
  <c r="K35" i="4" s="1"/>
  <c r="H35" i="4"/>
  <c r="I35" i="4" s="1"/>
  <c r="F35" i="4"/>
  <c r="E35" i="4"/>
  <c r="D35" i="4"/>
  <c r="C35" i="4"/>
  <c r="N35" i="4" s="1"/>
  <c r="B35" i="4"/>
  <c r="A35" i="4"/>
  <c r="J34" i="4"/>
  <c r="K34" i="4" s="1"/>
  <c r="H34" i="4"/>
  <c r="I34" i="4" s="1"/>
  <c r="F34" i="4"/>
  <c r="E34" i="4"/>
  <c r="D34" i="4"/>
  <c r="C34" i="4"/>
  <c r="O34" i="4" s="1"/>
  <c r="B34" i="4"/>
  <c r="A34" i="4"/>
  <c r="J33" i="4"/>
  <c r="K33" i="4" s="1"/>
  <c r="H33" i="4"/>
  <c r="I33" i="4" s="1"/>
  <c r="F33" i="4"/>
  <c r="E33" i="4"/>
  <c r="G33" i="4" s="1"/>
  <c r="D33" i="4"/>
  <c r="C33" i="4"/>
  <c r="O33" i="4" s="1"/>
  <c r="B33" i="4"/>
  <c r="A33" i="4"/>
  <c r="J32" i="4"/>
  <c r="K32" i="4" s="1"/>
  <c r="H32" i="4"/>
  <c r="I32" i="4" s="1"/>
  <c r="F32" i="4"/>
  <c r="E32" i="4"/>
  <c r="D32" i="4"/>
  <c r="C32" i="4"/>
  <c r="M32" i="4" s="1"/>
  <c r="B32" i="4"/>
  <c r="A32" i="4"/>
  <c r="J31" i="4"/>
  <c r="K31" i="4" s="1"/>
  <c r="H31" i="4"/>
  <c r="I31" i="4" s="1"/>
  <c r="F31" i="4"/>
  <c r="E31" i="4"/>
  <c r="G31" i="4" s="1"/>
  <c r="D31" i="4"/>
  <c r="C31" i="4"/>
  <c r="O31" i="4" s="1"/>
  <c r="B31" i="4"/>
  <c r="A31" i="4"/>
  <c r="J30" i="4"/>
  <c r="K30" i="4" s="1"/>
  <c r="H30" i="4"/>
  <c r="I30" i="4" s="1"/>
  <c r="F30" i="4"/>
  <c r="E30" i="4"/>
  <c r="D30" i="4"/>
  <c r="C30" i="4"/>
  <c r="O30" i="4" s="1"/>
  <c r="B30" i="4"/>
  <c r="A30" i="4"/>
  <c r="J29" i="4"/>
  <c r="K29" i="4" s="1"/>
  <c r="H29" i="4"/>
  <c r="I29" i="4" s="1"/>
  <c r="F29" i="4"/>
  <c r="E29" i="4"/>
  <c r="D29" i="4"/>
  <c r="C29" i="4"/>
  <c r="M29" i="4" s="1"/>
  <c r="B29" i="4"/>
  <c r="A29" i="4"/>
  <c r="J28" i="4"/>
  <c r="K28" i="4" s="1"/>
  <c r="H28" i="4"/>
  <c r="I28" i="4" s="1"/>
  <c r="F28" i="4"/>
  <c r="E28" i="4"/>
  <c r="D28" i="4"/>
  <c r="C28" i="4"/>
  <c r="M28" i="4" s="1"/>
  <c r="B28" i="4"/>
  <c r="A28" i="4"/>
  <c r="J27" i="4"/>
  <c r="K27" i="4" s="1"/>
  <c r="H27" i="4"/>
  <c r="I27" i="4" s="1"/>
  <c r="F27" i="4"/>
  <c r="E27" i="4"/>
  <c r="D27" i="4"/>
  <c r="C27" i="4"/>
  <c r="M27" i="4" s="1"/>
  <c r="B27" i="4"/>
  <c r="A27" i="4"/>
  <c r="J13" i="4"/>
  <c r="K13" i="4" s="1"/>
  <c r="H13" i="4"/>
  <c r="I13" i="4" s="1"/>
  <c r="F13" i="4"/>
  <c r="E13" i="4"/>
  <c r="D13" i="4"/>
  <c r="C13" i="4"/>
  <c r="M13" i="4" s="1"/>
  <c r="B13" i="4"/>
  <c r="A13" i="4"/>
  <c r="J12" i="4"/>
  <c r="K12" i="4" s="1"/>
  <c r="H12" i="4"/>
  <c r="I12" i="4" s="1"/>
  <c r="F12" i="4"/>
  <c r="E12" i="4"/>
  <c r="D12" i="4"/>
  <c r="C12" i="4"/>
  <c r="M12" i="4" s="1"/>
  <c r="B12" i="4"/>
  <c r="A12" i="4"/>
  <c r="J11" i="4"/>
  <c r="K11" i="4" s="1"/>
  <c r="H11" i="4"/>
  <c r="I11" i="4" s="1"/>
  <c r="F11" i="4"/>
  <c r="E11" i="4"/>
  <c r="D11" i="4"/>
  <c r="C11" i="4"/>
  <c r="M11" i="4" s="1"/>
  <c r="B11" i="4"/>
  <c r="A11" i="4"/>
  <c r="J10" i="4"/>
  <c r="K10" i="4" s="1"/>
  <c r="H10" i="4"/>
  <c r="I10" i="4" s="1"/>
  <c r="F10" i="4"/>
  <c r="E10" i="4"/>
  <c r="D10" i="4"/>
  <c r="C10" i="4"/>
  <c r="N10" i="4" s="1"/>
  <c r="B10" i="4"/>
  <c r="A10" i="4"/>
  <c r="J9" i="4"/>
  <c r="K9" i="4" s="1"/>
  <c r="H9" i="4"/>
  <c r="I9" i="4" s="1"/>
  <c r="F9" i="4"/>
  <c r="E9" i="4"/>
  <c r="D9" i="4"/>
  <c r="C9" i="4"/>
  <c r="O9" i="4" s="1"/>
  <c r="B9" i="4"/>
  <c r="A9" i="4"/>
  <c r="J8" i="4"/>
  <c r="K8" i="4" s="1"/>
  <c r="H8" i="4"/>
  <c r="I8" i="4" s="1"/>
  <c r="F8" i="4"/>
  <c r="E8" i="4"/>
  <c r="D8" i="4"/>
  <c r="C8" i="4"/>
  <c r="N8" i="4" s="1"/>
  <c r="B8" i="4"/>
  <c r="A8" i="4"/>
  <c r="J7" i="4"/>
  <c r="K7" i="4" s="1"/>
  <c r="H7" i="4"/>
  <c r="I7" i="4" s="1"/>
  <c r="F7" i="4"/>
  <c r="E7" i="4"/>
  <c r="D7" i="4"/>
  <c r="C7" i="4"/>
  <c r="O7" i="4" s="1"/>
  <c r="B7" i="4"/>
  <c r="A7" i="4"/>
  <c r="J6" i="4"/>
  <c r="K6" i="4" s="1"/>
  <c r="H6" i="4"/>
  <c r="I6" i="4" s="1"/>
  <c r="F6" i="4"/>
  <c r="E6" i="4"/>
  <c r="D6" i="4"/>
  <c r="C6" i="4"/>
  <c r="O6" i="4" s="1"/>
  <c r="B6" i="4"/>
  <c r="A6" i="4"/>
  <c r="J5" i="4"/>
  <c r="K5" i="4" s="1"/>
  <c r="H5" i="4"/>
  <c r="I5" i="4" s="1"/>
  <c r="F5" i="4"/>
  <c r="E5" i="4"/>
  <c r="D5" i="4"/>
  <c r="C5" i="4"/>
  <c r="N5" i="4" s="1"/>
  <c r="B5" i="4"/>
  <c r="A5" i="4"/>
  <c r="J4" i="4"/>
  <c r="K4" i="4" s="1"/>
  <c r="H4" i="4"/>
  <c r="I4" i="4" s="1"/>
  <c r="F4" i="4"/>
  <c r="E4" i="4"/>
  <c r="D4" i="4"/>
  <c r="C4" i="4"/>
  <c r="O4" i="4" s="1"/>
  <c r="B4" i="4"/>
  <c r="A4" i="4"/>
  <c r="J3" i="4"/>
  <c r="K3" i="4" s="1"/>
  <c r="H3" i="4"/>
  <c r="I3" i="4" s="1"/>
  <c r="F3" i="4"/>
  <c r="E3" i="4"/>
  <c r="D3" i="4"/>
  <c r="C3" i="4"/>
  <c r="M3" i="4" s="1"/>
  <c r="B3" i="4"/>
  <c r="A3" i="4"/>
  <c r="J2" i="4"/>
  <c r="K2" i="4" s="1"/>
  <c r="H2" i="4"/>
  <c r="I2" i="4" s="1"/>
  <c r="F2" i="4"/>
  <c r="E2" i="4"/>
  <c r="D2" i="4"/>
  <c r="C2" i="4"/>
  <c r="M2" i="4" s="1"/>
  <c r="B2" i="4"/>
  <c r="A2" i="4"/>
  <c r="N46" i="4" l="1"/>
  <c r="G18" i="4"/>
  <c r="N85" i="4"/>
  <c r="M46" i="4"/>
  <c r="M85" i="4"/>
  <c r="O72" i="4"/>
  <c r="G26" i="4"/>
  <c r="O79" i="4"/>
  <c r="O23" i="4"/>
  <c r="N6" i="4"/>
  <c r="O12" i="4"/>
  <c r="G48" i="4"/>
  <c r="N12" i="4"/>
  <c r="G81" i="4"/>
  <c r="G29" i="4"/>
  <c r="O76" i="4"/>
  <c r="O26" i="4"/>
  <c r="N61" i="4"/>
  <c r="O61" i="4"/>
  <c r="G8" i="4"/>
  <c r="G97" i="4"/>
  <c r="O19" i="4"/>
  <c r="N76" i="4"/>
  <c r="N22" i="4"/>
  <c r="G32" i="4"/>
  <c r="O24" i="4"/>
  <c r="M19" i="4"/>
  <c r="G78" i="4"/>
  <c r="N24" i="4"/>
  <c r="O22" i="4"/>
  <c r="N94" i="4"/>
  <c r="G61" i="4"/>
  <c r="G46" i="4"/>
  <c r="G28" i="4"/>
  <c r="N31" i="4"/>
  <c r="G62" i="4"/>
  <c r="G51" i="4"/>
  <c r="G77" i="4"/>
  <c r="N26" i="4"/>
  <c r="N28" i="4"/>
  <c r="G66" i="4"/>
  <c r="O28" i="4"/>
  <c r="G96" i="4"/>
  <c r="G65" i="4"/>
  <c r="M55" i="4"/>
  <c r="M70" i="4"/>
  <c r="G85" i="4"/>
  <c r="O8" i="4"/>
  <c r="O55" i="4"/>
  <c r="G63" i="4"/>
  <c r="N70" i="4"/>
  <c r="N81" i="4"/>
  <c r="N21" i="4"/>
  <c r="M31" i="4"/>
  <c r="G99" i="4"/>
  <c r="G5" i="4"/>
  <c r="G93" i="4"/>
  <c r="O16" i="4"/>
  <c r="G82" i="4"/>
  <c r="N16" i="4"/>
  <c r="G37" i="4"/>
  <c r="O25" i="4"/>
  <c r="G13" i="4"/>
  <c r="G45" i="4"/>
  <c r="N25" i="4"/>
  <c r="G69" i="4"/>
  <c r="G80" i="4"/>
  <c r="N37" i="4"/>
  <c r="G2" i="4"/>
  <c r="G53" i="4"/>
  <c r="G90" i="4"/>
  <c r="G94" i="4"/>
  <c r="M18" i="4"/>
  <c r="G50" i="4"/>
  <c r="G30" i="4"/>
  <c r="M37" i="4"/>
  <c r="N18" i="4"/>
  <c r="O20" i="4"/>
  <c r="G49" i="4"/>
  <c r="G64" i="4"/>
  <c r="M79" i="4"/>
  <c r="G98" i="4"/>
  <c r="M6" i="4"/>
  <c r="G34" i="4"/>
  <c r="G72" i="4"/>
  <c r="M94" i="4"/>
  <c r="G6" i="4"/>
  <c r="G55" i="4"/>
  <c r="G52" i="4"/>
  <c r="G91" i="4"/>
  <c r="G3" i="4"/>
  <c r="N64" i="4"/>
  <c r="G92" i="4"/>
  <c r="G71" i="4"/>
  <c r="N13" i="4"/>
  <c r="M38" i="4"/>
  <c r="G41" i="4"/>
  <c r="M47" i="4"/>
  <c r="M53" i="4"/>
  <c r="M62" i="4"/>
  <c r="O77" i="4"/>
  <c r="G83" i="4"/>
  <c r="O92" i="4"/>
  <c r="O13" i="4"/>
  <c r="N38" i="4"/>
  <c r="N47" i="4"/>
  <c r="N53" i="4"/>
  <c r="N62" i="4"/>
  <c r="M86" i="4"/>
  <c r="G89" i="4"/>
  <c r="M95" i="4"/>
  <c r="M7" i="4"/>
  <c r="N32" i="4"/>
  <c r="M71" i="4"/>
  <c r="N86" i="4"/>
  <c r="N95" i="4"/>
  <c r="G12" i="4"/>
  <c r="G11" i="4"/>
  <c r="G42" i="4"/>
  <c r="N45" i="4"/>
  <c r="N60" i="4"/>
  <c r="G84" i="4"/>
  <c r="G58" i="4"/>
  <c r="N40" i="4"/>
  <c r="M49" i="4"/>
  <c r="O64" i="4"/>
  <c r="O40" i="4"/>
  <c r="M97" i="4"/>
  <c r="O88" i="4"/>
  <c r="O29" i="4"/>
  <c r="N7" i="4"/>
  <c r="M56" i="4"/>
  <c r="N71" i="4"/>
  <c r="N80" i="4"/>
  <c r="G60" i="4"/>
  <c r="G39" i="4"/>
  <c r="N30" i="4"/>
  <c r="G73" i="4"/>
  <c r="G44" i="4"/>
  <c r="G38" i="4"/>
  <c r="G4" i="4"/>
  <c r="N44" i="4"/>
  <c r="G10" i="4"/>
  <c r="O80" i="4"/>
  <c r="G27" i="4"/>
  <c r="G87" i="4"/>
  <c r="M5" i="4"/>
  <c r="O60" i="4"/>
  <c r="O5" i="4"/>
  <c r="M39" i="4"/>
  <c r="N54" i="4"/>
  <c r="N63" i="4"/>
  <c r="N69" i="4"/>
  <c r="N78" i="4"/>
  <c r="G70" i="4"/>
  <c r="N29" i="4"/>
  <c r="G35" i="4"/>
  <c r="O44" i="4"/>
  <c r="O10" i="4"/>
  <c r="O32" i="4"/>
  <c r="N56" i="4"/>
  <c r="M65" i="4"/>
  <c r="N65" i="4"/>
  <c r="G75" i="4"/>
  <c r="N93" i="4"/>
  <c r="G57" i="4"/>
  <c r="G76" i="4"/>
  <c r="G43" i="4"/>
  <c r="G100" i="4"/>
  <c r="G67" i="4"/>
  <c r="G88" i="4"/>
  <c r="M88" i="4"/>
  <c r="G68" i="4"/>
  <c r="G56" i="4"/>
  <c r="G74" i="4"/>
  <c r="G54" i="4"/>
  <c r="G36" i="4"/>
  <c r="M30" i="4"/>
  <c r="O45" i="4"/>
  <c r="M54" i="4"/>
  <c r="M63" i="4"/>
  <c r="M69" i="4"/>
  <c r="M78" i="4"/>
  <c r="O93" i="4"/>
  <c r="N39" i="4"/>
  <c r="N48" i="4"/>
  <c r="M87" i="4"/>
  <c r="M8" i="4"/>
  <c r="M33" i="4"/>
  <c r="O48" i="4"/>
  <c r="M72" i="4"/>
  <c r="N87" i="4"/>
  <c r="N96" i="4"/>
  <c r="G40" i="4"/>
  <c r="G9" i="4"/>
  <c r="N49" i="4"/>
  <c r="G7" i="4"/>
  <c r="G59" i="4"/>
  <c r="G86" i="4"/>
  <c r="N77" i="4"/>
  <c r="N92" i="4"/>
  <c r="N33" i="4"/>
  <c r="M81" i="4"/>
  <c r="O96" i="4"/>
  <c r="B43" i="5"/>
  <c r="H36" i="5"/>
  <c r="B38" i="5"/>
  <c r="B41" i="5"/>
  <c r="B42" i="5"/>
  <c r="I36" i="5"/>
  <c r="G36" i="5"/>
  <c r="F36" i="5"/>
  <c r="B36" i="5"/>
  <c r="C36" i="5"/>
  <c r="D36" i="5"/>
  <c r="B40" i="5"/>
  <c r="I37" i="5"/>
  <c r="C43" i="5"/>
  <c r="C37" i="5"/>
  <c r="C41" i="5"/>
  <c r="B37" i="5"/>
  <c r="M4" i="4"/>
  <c r="M36" i="4"/>
  <c r="M52" i="4"/>
  <c r="M68" i="4"/>
  <c r="N91" i="4"/>
  <c r="O27" i="4"/>
  <c r="M34" i="4"/>
  <c r="O43" i="4"/>
  <c r="M50" i="4"/>
  <c r="O59" i="4"/>
  <c r="M66" i="4"/>
  <c r="O75" i="4"/>
  <c r="M82" i="4"/>
  <c r="O91" i="4"/>
  <c r="M98" i="4"/>
  <c r="C40" i="5"/>
  <c r="N2" i="4"/>
  <c r="N34" i="4"/>
  <c r="N50" i="4"/>
  <c r="N66" i="4"/>
  <c r="N82" i="4"/>
  <c r="N98" i="4"/>
  <c r="O2" i="4"/>
  <c r="M9" i="4"/>
  <c r="M41" i="4"/>
  <c r="M57" i="4"/>
  <c r="M73" i="4"/>
  <c r="M89" i="4"/>
  <c r="N11" i="4"/>
  <c r="N27" i="4"/>
  <c r="N43" i="4"/>
  <c r="N59" i="4"/>
  <c r="N75" i="4"/>
  <c r="O11" i="4"/>
  <c r="N9" i="4"/>
  <c r="N41" i="4"/>
  <c r="N57" i="4"/>
  <c r="N73" i="4"/>
  <c r="N89" i="4"/>
  <c r="D37" i="5"/>
  <c r="F37" i="5"/>
  <c r="G37" i="5"/>
  <c r="M83" i="4"/>
  <c r="M99" i="4"/>
  <c r="N3" i="4"/>
  <c r="N51" i="4"/>
  <c r="N67" i="4"/>
  <c r="N83" i="4"/>
  <c r="N99" i="4"/>
  <c r="O3" i="4"/>
  <c r="M10" i="4"/>
  <c r="O35" i="4"/>
  <c r="M42" i="4"/>
  <c r="O51" i="4"/>
  <c r="M58" i="4"/>
  <c r="O67" i="4"/>
  <c r="M74" i="4"/>
  <c r="M90" i="4"/>
  <c r="C38" i="5"/>
  <c r="C42" i="5"/>
  <c r="H37" i="5"/>
  <c r="M35" i="4"/>
  <c r="N42" i="4"/>
  <c r="N58" i="4"/>
  <c r="N74" i="4"/>
  <c r="N90" i="4"/>
  <c r="N97" i="4"/>
  <c r="M84" i="4"/>
  <c r="M100" i="4"/>
  <c r="N4" i="4"/>
  <c r="N36" i="4"/>
  <c r="N52" i="4"/>
  <c r="N68" i="4"/>
  <c r="N84" i="4"/>
  <c r="N100" i="4"/>
  <c r="G39" i="5" l="1"/>
  <c r="E40" i="5"/>
  <c r="E38" i="5"/>
  <c r="E36" i="5"/>
  <c r="D39" i="5"/>
  <c r="E41" i="5"/>
  <c r="C39" i="5"/>
  <c r="E37" i="5"/>
  <c r="E42" i="5"/>
  <c r="I39" i="5"/>
  <c r="E43" i="5"/>
  <c r="B39" i="5"/>
  <c r="F39" i="5"/>
  <c r="E39" i="5"/>
  <c r="H39" i="5"/>
</calcChain>
</file>

<file path=xl/sharedStrings.xml><?xml version="1.0" encoding="utf-8"?>
<sst xmlns="http://schemas.openxmlformats.org/spreadsheetml/2006/main" count="1267" uniqueCount="689">
  <si>
    <t>事件名称</t>
  </si>
  <si>
    <t>类型</t>
  </si>
  <si>
    <t>发生日期</t>
  </si>
  <si>
    <t>窗口开始
(相对天数)</t>
  </si>
  <si>
    <t>窗口结束
(相对天数)</t>
  </si>
  <si>
    <t>影响强度</t>
  </si>
  <si>
    <t>影响方向</t>
  </si>
  <si>
    <t>影响公司/行业</t>
  </si>
  <si>
    <t>影响描述</t>
  </si>
  <si>
    <t>AR/CAR量化提示</t>
  </si>
  <si>
    <t>数据来源</t>
  </si>
  <si>
    <t>央行降准降息与A股大金融板块联动</t>
  </si>
  <si>
    <t>宏观/地缘</t>
  </si>
  <si>
    <t>2024-09-24</t>
  </si>
  <si>
    <t>中</t>
  </si>
  <si>
    <t>正面</t>
  </si>
  <si>
    <t>银行、券商、金融权重股</t>
  </si>
  <si>
    <t>央行等宣布降准降息、下调存量房贷利率，A股大金融板块集体走强，成交额急剧放大，呈现政策托底-流动性注入-风险偏好提升传导路径</t>
  </si>
  <si>
    <t>计算A股相关板块指数CAR；用事件窗口期前120天为估计期拟合收益模型</t>
  </si>
  <si>
    <t>https://www.yicai.com/news/102284728.html</t>
  </si>
  <si>
    <t>红海危机与A股航运板块联动</t>
  </si>
  <si>
    <t>2023-12-18</t>
  </si>
  <si>
    <t>航运、港口、集装箱制造</t>
  </si>
  <si>
    <t>红海危机扰乱全球航运，40英尺集装箱运输成本一月内翻番，A股航运及港口板块阶段性爆发</t>
  </si>
  <si>
    <t>https://m.yicai.com/news/101967189.html</t>
  </si>
  <si>
    <t>镓锗出口管制与A股稀有金属板块联动</t>
  </si>
  <si>
    <t>2023-07-03</t>
  </si>
  <si>
    <t>云南锗业等小金属、有色金属板块</t>
  </si>
  <si>
    <t>商务部及海关总署对镓、锗实施出口管制，小金属概念股开盘涨停，呈现出口管制-供给收缩预期-战略资源重估路径</t>
  </si>
  <si>
    <t>https://zhishifenzi.blog.caixin.com/archives/269243</t>
  </si>
  <si>
    <t>锑及超硬材料出口管制与A股锑矿板块联动</t>
  </si>
  <si>
    <t>2024-08-15</t>
  </si>
  <si>
    <t>华钰矿业等锑矿龙头、有色金属板块</t>
  </si>
  <si>
    <t>商务部与海关总署对锑及超硬材料实施出口管制，锑矿龙头迅速走强，有色金属板块逆势拉升</t>
  </si>
  <si>
    <t>https://www.yicai.com/news/102233191.html</t>
  </si>
  <si>
    <t>超长期特别国债首发与A股基建板块联动</t>
  </si>
  <si>
    <t>2024-05-17</t>
  </si>
  <si>
    <t>低</t>
  </si>
  <si>
    <t>大基建、节能环保、水利工程板块</t>
  </si>
  <si>
    <t>财政部启动首只超长期特别国债招标，A股大基建板块走强，节能环保及水利工程细分领域获资金青睐</t>
  </si>
  <si>
    <t>https://opinion.caixin.com/2024-05-20/102198056.html</t>
  </si>
  <si>
    <t>日本福岛核污染水排海与A股水产养殖联动</t>
  </si>
  <si>
    <t>2023-08-24</t>
  </si>
  <si>
    <t>高</t>
  </si>
  <si>
    <t>水产养殖、淡水鱼概念、内陆盐业</t>
  </si>
  <si>
    <t>日本启动福岛核污水排海，导致多国暂停进口日本水产，A股水产养殖及淡水鱼概念股全线爆发</t>
  </si>
  <si>
    <t>https://international.caixin.com/2021-04-13/101690418.html</t>
  </si>
  <si>
    <t>低空经济写入政府工作报告与飞行汽车板块联动</t>
  </si>
  <si>
    <t>2024-03-29</t>
  </si>
  <si>
    <t>飞行汽车、整机制造、空管系统</t>
  </si>
  <si>
    <t>低空经济首次写入政府工作报告，多地跟进支持政策，飞行汽车及概念股短期涨幅翻倍</t>
  </si>
  <si>
    <t>https://www.yicai.com/news/102046696.html</t>
  </si>
  <si>
    <t>中央汇金买入ETF与A股宽基指数联动</t>
  </si>
  <si>
    <t>2023-10-24</t>
  </si>
  <si>
    <t>沪深300ETF、券商、高股息央企</t>
  </si>
  <si>
    <t>中央汇金公开买入ETF并表示继续增持，沪深300ETF成交量急剧放大，券商及央企板块止跌企稳</t>
  </si>
  <si>
    <t>https://finance.caixin.com/2023-10-24/102119797.html</t>
  </si>
  <si>
    <t>中东地缘局势升级与A股避险板块联动</t>
  </si>
  <si>
    <t>2024-04-15</t>
  </si>
  <si>
    <t>黄金股、国防军工板块</t>
  </si>
  <si>
    <t>中东冲突升级推升避险情绪，国际金价大幅波动，A股黄金股逆势拉升，军工板块资金涌入</t>
  </si>
  <si>
    <t>https://www.yicai.com/news/103075913.html</t>
  </si>
  <si>
    <t>CrowdStrike全球宕机与A股网安板块联动</t>
  </si>
  <si>
    <t>2024-07-19</t>
  </si>
  <si>
    <t>网络安全、信创板块</t>
  </si>
  <si>
    <t>CrowdStrike更新失误导致全球微软系统蓝屏，A股网络安全及信创板块迅速拉升，国产网安龙头大幅走高</t>
  </si>
  <si>
    <t>https://www.yicai.com/news/102199222.html</t>
  </si>
  <si>
    <t>中国对6国单方面免签与A股旅游航空联动</t>
  </si>
  <si>
    <t>2023-11-24</t>
  </si>
  <si>
    <t>旅行社、航空、机场板块</t>
  </si>
  <si>
    <t>中国对法、德等6国试行单方面免签，入境游旅行社个股活跃，航空股及机场获实质性利好</t>
  </si>
  <si>
    <t>https://international.caixin.com/2023-11-24/102139087.html</t>
  </si>
  <si>
    <t>欧盟对华电动车反补贴调查与A股汽车出海联动</t>
  </si>
  <si>
    <t>2023-10-04</t>
  </si>
  <si>
    <t>负面</t>
  </si>
  <si>
    <t>整车板块（短期承压）、海外布局汽车零部件企业</t>
  </si>
  <si>
    <t>欧盟对中国纯电动汽车启动反补贴调查，整车板块短期承压，已在海外布局产能的零部件企业获长线资金逆势加仓</t>
  </si>
  <si>
    <t>https://m.caixin.com/m/2023-10-11/102115853.html</t>
  </si>
  <si>
    <t>新国九条发布与A股红利中字头联动</t>
  </si>
  <si>
    <t>2024-04-12</t>
  </si>
  <si>
    <t>中字头、高股息红利板块；微盘股（负面）</t>
  </si>
  <si>
    <t>国务院印发新版国九条推动资本市场高质量发展，微盘股遭重挫，高股息中字头及红利板块创历史新高</t>
  </si>
  <si>
    <t>https://www.yicai.com/news/102069874.html</t>
  </si>
  <si>
    <t>房地产517新政与A股地产板块联动</t>
  </si>
  <si>
    <t>房地产开发、建筑材料、家居板块</t>
  </si>
  <si>
    <t>央行等部门降低首付比例下限并取消房贷利率下限，A股地产板块掀起涨停潮，建材家居全线反弹</t>
  </si>
  <si>
    <t>https://www.yicai.com/news/102137122.html</t>
  </si>
  <si>
    <t>央行MLF降息落空与A股大金融抗跌联动</t>
  </si>
  <si>
    <t>2024-01-15</t>
  </si>
  <si>
    <t>双向</t>
  </si>
  <si>
    <t>银行、大金融蓝筹股</t>
  </si>
  <si>
    <t>央行超额续作MLF但保持利率不变，市场预期降息落空，银行等大金融蓝筹因息差压力暂缓而逆势走强</t>
  </si>
  <si>
    <t>https://www.yicai.com/news/101957534.html</t>
  </si>
  <si>
    <t>生物安全法案风波与A股CXO杀跌</t>
  </si>
  <si>
    <t>2024-03-14</t>
  </si>
  <si>
    <t>药明康德等CXO板块（负面）；中药板块（受益）</t>
  </si>
  <si>
    <t>美国BIO支持生物安全法案并终止药明康德会员资格，CXO板块遭重挫，资金转向中药板块</t>
  </si>
  <si>
    <t>https://m.caixin.com/m/2024-03-14/102175327.html</t>
  </si>
  <si>
    <t>美加征电动车100%关税与A股头部车企联动</t>
  </si>
  <si>
    <t>2024-05-14</t>
  </si>
  <si>
    <t>新能源车头部车企、海外布局车企</t>
  </si>
  <si>
    <t>美国将中国电动车关税提至100%，因提前消化且对美出口极少，A股新能源车板块未现大跌，布局拉美欧洲车企抗跌</t>
  </si>
  <si>
    <t>https://www.yicai.com/news/102111994.html</t>
  </si>
  <si>
    <t>巴拿马运河极端干旱与A股航运板块联动</t>
  </si>
  <si>
    <t>2023-11-03</t>
  </si>
  <si>
    <t>航运、港口、船舶租赁板块</t>
  </si>
  <si>
    <t>巴拿马运河因严重干旱下调每日通行船只数量，A股航运概念股受运价上涨预期提振阶段性走强</t>
  </si>
  <si>
    <t>https://companies.caixin.com/2023-11-02/102124069.html</t>
  </si>
  <si>
    <t>联合利剑-2024A军演与A股军工板块联动</t>
  </si>
  <si>
    <t>2024-05-23</t>
  </si>
  <si>
    <t>海空装备、信息化军工、船舶制造、雷达通信</t>
  </si>
  <si>
    <t>解放军东部战区在台岛周边开展军事演习，军工板块特别是海空装备及信息化标的活跃，船舶制造同步跟涨</t>
  </si>
  <si>
    <t>https://www.yicai.com/brief/102121226.html</t>
  </si>
  <si>
    <t>大规模设备更新政策落地与A股制造板块联动</t>
  </si>
  <si>
    <t>2024-04-11</t>
  </si>
  <si>
    <t>工业母机、工程机械、家电龙头</t>
  </si>
  <si>
    <t>发改委介绍推动大规模设备更新和消费品以旧换新方案，工业母机和工程机械板块率先爆发，家电龙头开启波段上涨</t>
  </si>
  <si>
    <t>https://finance.caixin.com/m/2024-04-12/102185141.html</t>
  </si>
  <si>
    <t>美国芯片出口管制与A股半导体设备联动</t>
  </si>
  <si>
    <t>2023-10-17</t>
  </si>
  <si>
    <t>半导体设备龙头、光刻机国产化概念、算力自主化标的</t>
  </si>
  <si>
    <t>美国出口管制限制向晶圆厂发运先进光刻机及AI芯片，A股半导体设备龙头大幅走强，国产替代逻辑强化</t>
  </si>
  <si>
    <t>https://www.yicai.com/news/101944155.html</t>
  </si>
  <si>
    <t>OPEC+减产延期与A股油气板块联动</t>
  </si>
  <si>
    <t>2023-11-30</t>
  </si>
  <si>
    <t>中国海油等核心油气股、油服工程标的</t>
  </si>
  <si>
    <t>OPEC+决定延长日均220万桶自愿减产，中国海油股价坚挺，油服工程标的在弱势中逆势活跃</t>
  </si>
  <si>
    <t>https://www.yicai.com/news/102012947.html</t>
  </si>
  <si>
    <t>美联储降息50BP与A股核心资产联动</t>
  </si>
  <si>
    <t>2024-09-18</t>
  </si>
  <si>
    <t>有色金属、黄金板块、科技成长股</t>
  </si>
  <si>
    <t>美联储重启宽松周期，A股外资流出压力缓解，有色金属及黄金板块大幅拉升，科技成长股资金回流</t>
  </si>
  <si>
    <t>https://www.yicai.com/news/102279977.html</t>
  </si>
  <si>
    <t>全球可可价格创历史新高与A股食品板块联动</t>
  </si>
  <si>
    <t>2024-03-27</t>
  </si>
  <si>
    <t>代可可脂、食品添加剂企业、农业种植板块</t>
  </si>
  <si>
    <t>西非极端天气致全球可可期货突破万元/吨，A股代可可脂及食品添加剂生产企业获资金挖掘</t>
  </si>
  <si>
    <t>https://www.yicai.com/news/102051568.html</t>
  </si>
  <si>
    <t>超长期国债加力支持设备更新与A股联动</t>
  </si>
  <si>
    <t>2024-07-25</t>
  </si>
  <si>
    <t>商用车报废更新、农机、新能源公交、家电回收板块</t>
  </si>
  <si>
    <t>发改委及财政部统筹3000亿超长期特别国债支持设备更新，A股商用车、农机、新能源公交及家电回收板块全线大涨</t>
  </si>
  <si>
    <t>https://economy.caixin.com/2024-07-25/102219873.html</t>
  </si>
  <si>
    <t>国轩高科全固态电池突破与A股固态电池板块联动</t>
  </si>
  <si>
    <t>行业/技术</t>
  </si>
  <si>
    <t>2025-05-17</t>
  </si>
  <si>
    <t>国轩高科、海目星、赣锋锂业、孚能科技；固态电池产业链</t>
  </si>
  <si>
    <t>国轩高科宣布金石全固态电池中试线贯通，能量密度达350Wh/kg，国轩高科涨停，海目星5日大涨超35%，固态电池指数5月累涨4.35%</t>
  </si>
  <si>
    <t>对比关联个股与行业指数；计算窗口期内超额收益AR=实际收益-预期收益</t>
  </si>
  <si>
    <t>东方财富网财富号</t>
  </si>
  <si>
    <t>人形机器人商业化大单落地与A股机器人板块联动</t>
  </si>
  <si>
    <t>2025-07-11</t>
  </si>
  <si>
    <t>绿的谐波、双环传动、埃斯顿、优必选、敏芯股份；机器人产业链</t>
  </si>
  <si>
    <t>中国移动发布1.24亿元人形机器人采购大单，智元机器人、宇树科技中标，机器人ETF两日涨超4.5%</t>
  </si>
  <si>
    <t>https://36kr.com/p/3378629255714953</t>
  </si>
  <si>
    <t>凌空天行高超音速导弹发布与A股军工产业链联动</t>
  </si>
  <si>
    <t>2025-11-25</t>
  </si>
  <si>
    <t>通宇通讯（大涨超50%）、天宜新材、中天火箭；军工产业链</t>
  </si>
  <si>
    <t>民营公司凌空天行发布驭空戟-1000高超音速导弹，直接投资方通宇通讯7日涨超50%，核心供应商显著涨幅</t>
  </si>
  <si>
    <t>https://paper.cnstock.com/html/2025-11/25/content_2149777.htm</t>
  </si>
  <si>
    <t>英伟达GB200芯片落地与A股光模块板块联动</t>
  </si>
  <si>
    <t>2026-04-24</t>
  </si>
  <si>
    <t>中际旭创、新易盛、中瓷电子；光模块产业链</t>
  </si>
  <si>
    <t>英伟达GB200服务器芯片落地部署，将1.6T光模块列为标配，中际旭创刷新历史高点，光模块指数两日涨超4%</t>
  </si>
  <si>
    <t>https://caifuhao.eastmoney.com/news/20260424200532173921020</t>
  </si>
  <si>
    <t>全球船舶订单爆发与A股中船系板块联动</t>
  </si>
  <si>
    <t>2025-04-09</t>
  </si>
  <si>
    <t>中国船舶、中船防务、中船科技；船舶配套企业</t>
  </si>
  <si>
    <t>全球船舶行业进入更替周期，新船订单持续爆满，中船系板块累计最大涨幅达56.26%</t>
  </si>
  <si>
    <t>https://m.cls.cn/detail/1397947</t>
  </si>
  <si>
    <t>钛白粉行业集体涨价与A股钛白粉板块联动</t>
  </si>
  <si>
    <t>2026-04-15</t>
  </si>
  <si>
    <t>龙佰集团、中核钛白、金浦钛业；钛白粉生产行业</t>
  </si>
  <si>
    <t>龙佰集团领衔开启第四轮涨价，海内外厂商同步提价，钛白粉指数当日涨超2.5%</t>
  </si>
  <si>
    <t>https://caifuhao.eastmoney.com/news/20260415104210223367892</t>
  </si>
  <si>
    <t>光通信技术突破与A股光模块板块联动</t>
  </si>
  <si>
    <t>2026-02-24</t>
  </si>
  <si>
    <t>华工科技、天孚通信、长飞光纤、炬光科技、三环集团；光通信产业链</t>
  </si>
  <si>
    <t>我国科学家光纤-无线一体化融合通信速率刷新纪录，光模块板块两日涨超5%，多只个股涨停</t>
  </si>
  <si>
    <t>https://caifuhao.eastmoney.com/news/20260224160628408013800</t>
  </si>
  <si>
    <t>商业航天可回收火箭密集试验与A股商业航天联动</t>
  </si>
  <si>
    <t>2026-05-08</t>
  </si>
  <si>
    <t>电科蓝天、航天发展、航天动力、航天长峰；商业航天配套企业</t>
  </si>
  <si>
    <t>国内民营可回收火箭进入密集验证期，商业航天指数当日大涨超8.3%，超30只个股涨幅超5%</t>
  </si>
  <si>
    <t>https://m.toutiao.com/group/7637497849870190939/</t>
  </si>
  <si>
    <t>比亚迪刀片电池迭代与A股锂电池板块联动</t>
  </si>
  <si>
    <t>2026-03-10</t>
  </si>
  <si>
    <t>比亚迪、科达利、天赐材料、新宙邦；锂电池产业链</t>
  </si>
  <si>
    <t>比亚迪新一代刀片电池实现体积利用率与循环寿命双突破，锂电池指数当日涨超3.2%</t>
  </si>
  <si>
    <t>https://caifuhao.eastmoney.com/news/20260310110520334456781</t>
  </si>
  <si>
    <t>恒邦股份高纯砷量产与A股半导体材料板块联动</t>
  </si>
  <si>
    <t>2026-01-15</t>
  </si>
  <si>
    <t>恒邦股份（5日涨超38%）、江丰电子、阿石创；半导体材料产业链</t>
  </si>
  <si>
    <t>恒邦股份实现七九高纯砷量产打破国外垄断，打入中芯国际供应链，半导体材料指数当日涨超2.6%</t>
  </si>
  <si>
    <t>https://xueqiu.com/1434146087/3733162060</t>
  </si>
  <si>
    <t>AMD上调服务器CPU市场空间与A股算力芯片联动</t>
  </si>
  <si>
    <t>2026-04-18</t>
  </si>
  <si>
    <t>海光信息（20CM涨停）、寒武纪；国产算力配套企业</t>
  </si>
  <si>
    <t>AMD将2030年服务器CPU市场上调至1200亿美元，海光信息20CM涨停，寒武纪盘中大涨超15%</t>
  </si>
  <si>
    <t>https://m.toutiao.com/group/7636683649387069992/</t>
  </si>
  <si>
    <t>全球光纤供需缺口扩大与A股光纤板块联动</t>
  </si>
  <si>
    <t>长飞光纤、亨通光电、中天科技；光纤配套企业</t>
  </si>
  <si>
    <t>海外宽带基建需求激增，国内高端光纤订单爆发，光纤指数两日涨超3.8%，中天科技连续涨停</t>
  </si>
  <si>
    <t>https://caifuhao.eastmoney.com/news/20260224103340663280830</t>
  </si>
  <si>
    <t>电子布量价齐升与A股PCB电子布板块联动</t>
  </si>
  <si>
    <t>2026-04-12</t>
  </si>
  <si>
    <t>宏和科技（4月涨幅70%）、中国巨石、国际复材；PCB电子布板块</t>
  </si>
  <si>
    <t>PCB上游电子布量价齐升，超薄电子布供需持续偏紧，宏和科技4月涨幅达70%</t>
  </si>
  <si>
    <t>https://m.cls.cn/detail/1402667</t>
  </si>
  <si>
    <t>Lumen 50亿美元光通信订单与A股光通信板块联动</t>
  </si>
  <si>
    <t>2024-08-07</t>
  </si>
  <si>
    <t>通鼎互联、汇源通信（涨停）、通光线缆（20CM涨停）、长飞光纤等</t>
  </si>
  <si>
    <t>海外企业Lumen获50亿美元光通信大额订单，A股光通信板块近15只个股涨停</t>
  </si>
  <si>
    <t>https://finance.eastmoney.com/a/20240807/3150337766.html</t>
  </si>
  <si>
    <t>英特尔AI CPU技术突破与A股算力CPU板块联动</t>
  </si>
  <si>
    <t>2026-05-05</t>
  </si>
  <si>
    <t>海光信息、寒武纪；国产CPU配套企业</t>
  </si>
  <si>
    <t>英特尔AI CPU技术取得关键突破，带动AI推理场景CPU需求大幅提升，海光信息连续大涨</t>
  </si>
  <si>
    <t>https://m.cls.cn/detail/1402558</t>
  </si>
  <si>
    <t>光伏HJT电池效率刷新与A股光伏设备板块联动</t>
  </si>
  <si>
    <t>2025-08-12</t>
  </si>
  <si>
    <t>迈为股份、捷佳伟创、金辰股份；光伏浆料银粉企业</t>
  </si>
  <si>
    <t>光伏HJT电池转换效率刷新全球纪录，光伏设备指数当月涨超4.2%</t>
  </si>
  <si>
    <t>https://paper.cnstock.com/html/2025-10/28/content_2168002.htm</t>
  </si>
  <si>
    <t>Mini LED量产提速与A股LED显示板块联动</t>
  </si>
  <si>
    <t>2025-12-15</t>
  </si>
  <si>
    <t>三安光电、兆驰股份、瑞丰光电、聚飞光电；Mini LED封装企业</t>
  </si>
  <si>
    <t>Mini LED背光与直显产品大规模量产，电视车载显示订单集中释放，LED显示板块活跃度显著提升</t>
  </si>
  <si>
    <t>https://m.cls.cn/detail/1356002</t>
  </si>
  <si>
    <t>工业机器人出货高增与A股机器人减速器板块联动</t>
  </si>
  <si>
    <t>绿的谐波、双环传动、埃斯顿、汇川技术；传感器配套企业</t>
  </si>
  <si>
    <t>国内工业机器人出货量同比大幅增长，机器人核心部件板块两日涨超3.9%</t>
  </si>
  <si>
    <t>https://www.stcn.com/2026/01/15/3456789.html</t>
  </si>
  <si>
    <t>碳化硅衬底量产与A股第三代半导体板块联动</t>
  </si>
  <si>
    <t>2026-03-20</t>
  </si>
  <si>
    <t>天岳先进、东尼电子、三安光电、露笑科技；碳化硅外延器件企业</t>
  </si>
  <si>
    <t>国内6英寸碳化硅衬底实现规模化量产打破海外垄断，第三代半导体指数当日涨超3.5%</t>
  </si>
  <si>
    <t>https://www.cs.com.cn/2026/03/20/3456789.html</t>
  </si>
  <si>
    <t>国际油价持续上涨与A股油服工程板块联动</t>
  </si>
  <si>
    <t>2025-10-23</t>
  </si>
  <si>
    <t>中海油服、石化油服、杰瑞股份、通源石油；油气设备配套企业</t>
  </si>
  <si>
    <t>国际原油价格持续走高，油气开发资本开支增加，油服板块当月涨幅居前</t>
  </si>
  <si>
    <t>https://paper.cnstock.com/html/2025-10/15/content_2165001.htm</t>
  </si>
  <si>
    <t>跨境电商出口高增与A股跨境电商板块联动</t>
  </si>
  <si>
    <t>2026-01-20</t>
  </si>
  <si>
    <t>华贸物流、中外运、焦点科技、吉宏股份；跨境支付仓储企业</t>
  </si>
  <si>
    <t>跨境电商出口数据大幅增长，海外需求回暖，跨境电商板块活跃度显著提升</t>
  </si>
  <si>
    <t>https://www.stcn.com/2026/01/20/3456789.html</t>
  </si>
  <si>
    <t>汽车一体化压铸普及与A股压铸零部件板块联动</t>
  </si>
  <si>
    <t>文灿股份、广东鸿图、拓普集团、旭升集团；压铸设备企业</t>
  </si>
  <si>
    <t>汽车一体化压铸技术加速普及，多家车企扩大应用规模，汽车零部件板块当日涨超3.2%</t>
  </si>
  <si>
    <t>https://paper.cnstock.com/html/2026-04/18/content_2198001.htm</t>
  </si>
  <si>
    <t>稀土供需格局收紧与A股稀土板块联动</t>
  </si>
  <si>
    <t>2026-02-27</t>
  </si>
  <si>
    <t>中稀有色（涨停）、中国稀土、盛和资源、北方稀土；稀土加工企业</t>
  </si>
  <si>
    <t>全球稀土供给持续收缩、下游磁材需求旺盛，稀土主流品种价格连续走高</t>
  </si>
  <si>
    <t>https://finance.sina.cn/tech/2026-02-27/detail-inhphcxe6627637.d.html</t>
  </si>
  <si>
    <t>宁德时代钠离子电池量产突破与A股钠电板块联动</t>
  </si>
  <si>
    <t>2026-04-21</t>
  </si>
  <si>
    <t>圣阳股份（涨停）、宗申动力、华塑科技；钠电材料电芯企业</t>
  </si>
  <si>
    <t>宁德时代宣布攻克钠离子电池量产关键难题，计划年内大规模量产，钠电产业链核心标的阶段性走强</t>
  </si>
  <si>
    <t>https://m.toutiao.com/group/7633429064241447466/</t>
  </si>
  <si>
    <t>光伏银浆技术突破与A股光伏辅料板块联动</t>
  </si>
  <si>
    <t>帝科股份、苏州固锝、聚和股份、捷佳伟创；光伏辅料赛道</t>
  </si>
  <si>
    <t>光伏银浆国产技术取得关键突破，低温银浆量产效率提升、成本显著下降，国产替代进程加速</t>
  </si>
  <si>
    <t>https://paper.cnstock.com/html/2025-08/12/content_2126001.htm</t>
  </si>
  <si>
    <t>十部门发布低空经济标准体系建设指南（2025年版）</t>
  </si>
  <si>
    <t>政策</t>
  </si>
  <si>
    <t>2026-02-02</t>
  </si>
  <si>
    <t>中无人机、宗申动力、万丰奥威；低空飞行器制造产业链</t>
  </si>
  <si>
    <t>工信部等十部门明确2030年低空经济300+标准目标，涵盖飞行器制造、通信导航、服务管理等全产业链</t>
  </si>
  <si>
    <t>用政策公告日±窗口期计算板块指数AR；参考市场模型或CAPM估算正常收益</t>
  </si>
  <si>
    <t>https://www.gov.cn/lianbo/202602/content_7056842.htm</t>
  </si>
  <si>
    <t>工信部部长表态推动AI和制造业双向奔赴</t>
  </si>
  <si>
    <t>2026-03-05</t>
  </si>
  <si>
    <t>埃斯顿、绿的谐波、汇川技术；工业机器人产业链</t>
  </si>
  <si>
    <t>工信部部长李乐成在两会表示推动AI和制造业双向奔赴，重点突破智能制造装备、工业机器人等关键领域</t>
  </si>
  <si>
    <t>https://www.gov.cn/zhuanti/2026nztj/2026qglh/yw/202603/content_7061031.htm</t>
  </si>
  <si>
    <t>发改委宣布在人工智能+基础设施领域扩大有效投资</t>
  </si>
  <si>
    <t>2026-04-17</t>
  </si>
  <si>
    <t>浪潮信息、中科曙光、寒武纪；算力基础设施相关企业</t>
  </si>
  <si>
    <t>发改委宣布重点在AI+基础设施领域扩大投资，包括智算中心建设、数据标注基地、大模型训练平台</t>
  </si>
  <si>
    <t>https://www.gov.cn/zhengce/202604/content_7066126.htm</t>
  </si>
  <si>
    <t>国务院发布关于深入实施人工智能+行动的意见</t>
  </si>
  <si>
    <t>2025-08-26</t>
  </si>
  <si>
    <t>中科曙光、浪潮信息、科大讯飞；AI全产业链</t>
  </si>
  <si>
    <t>国务院印发AI+顶层设计文件，提出到2027年形成较为完善的AI产业生态，培育具国际竞争力的AI企业集群</t>
  </si>
  <si>
    <t>https://www.gov.cn/gongbao/2025/issue_12266/202509/content_7039598.html</t>
  </si>
  <si>
    <t>政府工作报告提出促进新一代智能终端和智能体加快推广</t>
  </si>
  <si>
    <t>寒武纪、海光信息、中际旭创；AI终端芯片产业链</t>
  </si>
  <si>
    <t>政府工作报告明确支持AI手机、AI PC、智能网联汽车等终端创新，打开万亿级消费电子市场空间</t>
  </si>
  <si>
    <t>https://www.gov.cn/zhuanti/2026nztj/2026qglh/yw/202603/content_7060592.htm</t>
  </si>
  <si>
    <t>教育部等五部门印发人工智能+教育行动计划</t>
  </si>
  <si>
    <t>2026-04-10</t>
  </si>
  <si>
    <t>科大讯飞、鸿合科技、优博讯；AI+教育相关企业</t>
  </si>
  <si>
    <t>教育部等五部门推动AI技术在教学、管理、评价等全场景深度应用，建设国家智慧教育平台</t>
  </si>
  <si>
    <t>https://www.gov.cn/zhengce/zhengceku/202604/content_7065138.htm</t>
  </si>
  <si>
    <t>证监会发布证券期货市场监督管理措施实施办法</t>
  </si>
  <si>
    <t>2025-12-31</t>
  </si>
  <si>
    <t>中信证券、东方财富、华泰证券；头部合规券商</t>
  </si>
  <si>
    <t>证监会细化监管措施类型和程序，提升监管执法规范性和透明度，利好合规经营能力强的头部金融机构</t>
  </si>
  <si>
    <t>http://www.csrc.gov.cn/csrc/c100028/c7606032/content.shtml</t>
  </si>
  <si>
    <t>网信办等三部门印发智能体规范应用与创新发展实施意见</t>
  </si>
  <si>
    <t>三六零、昆仑万维、科大讯飞；AI智能体应用企业</t>
  </si>
  <si>
    <t>规范AI智能体开发与应用，鼓励模型即服务等新业态，推动AI agent技术走向规范化规模化应用</t>
  </si>
  <si>
    <t>https://wxb.xzdw.gov.cn/xxh/ghzc/202605/t20260509_669732.html</t>
  </si>
  <si>
    <t>发改委印发国家产业技术工程化中心管理办法</t>
  </si>
  <si>
    <t>2026-01-23</t>
  </si>
  <si>
    <t>华中数控、科德数控、埃斯顿；高端装备工业母机企业</t>
  </si>
  <si>
    <t>支持建设国家级产业技术创新平台，聚焦高端装备、新材料、生物医药等战略性新兴产业</t>
  </si>
  <si>
    <t>https://www.ndrc.gov.cn/xxgk/zcfb/ghxwj/</t>
  </si>
  <si>
    <t>财政部等发布2026-2027年新能源车减免购置税技术要求</t>
  </si>
  <si>
    <t>2025-10-10</t>
  </si>
  <si>
    <t>比亚迪、特斯拉、理想汽车、宁德时代；技术领先整车及核心零部件企业</t>
  </si>
  <si>
    <t>将纯电续航门槛从100公里提升至150公里，同时提高电池能量密度等要求，加速行业洗牌淘汰落后产能</t>
  </si>
  <si>
    <t>https://tianjin.chinatax.gov.cn/11200000000/0300/030004/03000418/20251010095507821.shtml</t>
  </si>
  <si>
    <t>发改委印发电力中长期市场基本规则</t>
  </si>
  <si>
    <t>2026-03-01</t>
  </si>
  <si>
    <t>国能日新、远光软件、三峡能源；综合能源服务和虚拟电厂企业</t>
  </si>
  <si>
    <t>完善电力市场化交易机制，推动新能源全面进入市场交易，利好电力运营和综合能源服务领域</t>
  </si>
  <si>
    <t>发改委发布互联网平台价格行为规则</t>
  </si>
  <si>
    <t>美团、腾讯控股、阿里巴巴；头部互联网平台企业</t>
  </si>
  <si>
    <t>规范平台经济领域定价行为，禁止大数据杀熟和虚假优惠，引导平台从价格战转向服务质量竞争</t>
  </si>
  <si>
    <t>发改委计划报告提出深入推进数字中国建设</t>
  </si>
  <si>
    <t>中际旭创、新易盛、中兴通讯；算力通信产业链</t>
  </si>
  <si>
    <t>明确建设全国一体化算力网，培育6G、量子信息、元宇宙等未来产业，为相关产业带来长期政策红利</t>
  </si>
  <si>
    <t>https://dzswgf.mofcom.gov.cn/news/43/2026/3/1774245123014.html</t>
  </si>
  <si>
    <t>中央预算内投资补助和贴息项目管理办法修订发布</t>
  </si>
  <si>
    <t>2026-01-09</t>
  </si>
  <si>
    <t>中国交建、碧水源、高能环境；基建水利环保板块</t>
  </si>
  <si>
    <t>优化投资补助和贴息政策适用范围和标准，加大中央资金对重点项目支持力度</t>
  </si>
  <si>
    <t>https://gbdy.ndrc.gov.cn/gbdyzcjd/202601/t20260109_1403141.html</t>
  </si>
  <si>
    <t>国家卫健委推进生物医学新技术临床研究和转化应用管理条例实施</t>
  </si>
  <si>
    <t>2026-05-01</t>
  </si>
  <si>
    <t>药明康德、泰格医药、金斯瑞生物科技；前沿医疗CXO企业</t>
  </si>
  <si>
    <t>规范细胞治疗、基因治疗等前沿技术临床转化，建立伦理审查和风险监管机制，加速创新疗法落地</t>
  </si>
  <si>
    <t>https://wjw.fujian.gov.cn/xxgk/gzdt/mtbd/202605/t20260506_7143978.htm</t>
  </si>
  <si>
    <t>六部门印发机械行业稳增长工作方案（2025—2026年）</t>
  </si>
  <si>
    <t>2025-09-30</t>
  </si>
  <si>
    <t>绿的谐波、科德数控、奥普特；工业母机机器人仪器仪表企业</t>
  </si>
  <si>
    <t>培育瞪羚企业和专精特新小巨人，推动工业母机、机器人等高端装备突破关键技术，扩大内需和出口</t>
  </si>
  <si>
    <t>http://finance.people.com.cn/BIG5/n1/2025/0930/c1004-40575324.html</t>
  </si>
  <si>
    <t>发改委财政部印发2026年实施大规模设备更新和消费品以旧换新政策通知</t>
  </si>
  <si>
    <t>2025-12-30</t>
  </si>
  <si>
    <t>比亚迪、海尔智家、立讯精密；汽车家电消费电子龙头</t>
  </si>
  <si>
    <t>明确2026年国补标准，扩大补贴范围至汽车、家电、家装、消费电子，加大财政资金支持力度</t>
  </si>
  <si>
    <t>http://big5.www.gov.cn/gate/big5/www.gov.cn/zhengce/202512/content_7053304.htm</t>
  </si>
  <si>
    <t>发改委印发节能降碳中央预算内投资专项管理办法</t>
  </si>
  <si>
    <t>2025-10-27</t>
  </si>
  <si>
    <t>宁德时代、隆基绿能、伟明环保；环保新能源板块</t>
  </si>
  <si>
    <t>明确中央预算内投资对节能降碳项目支持范围，重点支持煤电低碳改造、可再生能源利用等项目</t>
  </si>
  <si>
    <t>工信部国家数据局联合发布2026年模数共振行动通知</t>
  </si>
  <si>
    <t>2026-04-28</t>
  </si>
  <si>
    <t>拓尔思、卫士通、上海钢联；数据要素AI应用企业</t>
  </si>
  <si>
    <t>推动大模型与数据要素深度融合，支持高质量数据集建设和大模型在重点行业应用示范</t>
  </si>
  <si>
    <t>https://www.miit.gov.cn/zwgk/zcwj/wjfb/tz/art/2026/art_ba07e09d40834ec992615490fd2ccd18.html</t>
  </si>
  <si>
    <t>发改委印发国家新兴产业创新中心管理办法</t>
  </si>
  <si>
    <t>比亚迪、凯赛生物、中航高科；新能源汽车生物制造航空板块</t>
  </si>
  <si>
    <t>支持建设国家级新兴产业创新中心，聚焦新能源汽车、生物制造、新材料、航空航天等领域</t>
  </si>
  <si>
    <t>发改委推进低空智能网联系统建设</t>
  </si>
  <si>
    <t>2026-02-03</t>
  </si>
  <si>
    <t>深城交、莱斯信息、四川九洲；低空基础设施企业</t>
  </si>
  <si>
    <t>协同推进低空智能网联系统建设，完善低空通信导航监视体系，推动低空经济从飞起来向管得住飞得好升级</t>
  </si>
  <si>
    <t>https://www.ndrc.gov.cn/</t>
  </si>
  <si>
    <t>国务院发文推动数据要素市场建设</t>
  </si>
  <si>
    <t>2022-12-19</t>
  </si>
  <si>
    <t>上海钢联、人民网、每日互动；数据要素领域企业</t>
  </si>
  <si>
    <t>建立数据产权制度、数据要素流通交易制度，支持数据交易所规范发展，培育数据商和第三方服务机构</t>
  </si>
  <si>
    <t>https://www.gov.cn/</t>
  </si>
  <si>
    <t>发改委印发乡村振兴中央预算内投资专项管理办法</t>
  </si>
  <si>
    <t>2025-11-06</t>
  </si>
  <si>
    <t>一拖股份、隆平高科、大北农；农机种业板块</t>
  </si>
  <si>
    <t>明确中央投资支持乡村振兴重点领域，包括高标准农田建设、农产品仓储保鲜冷链物流设施等</t>
  </si>
  <si>
    <t>发改委提出推动集成电路关键核心技术取得突破</t>
  </si>
  <si>
    <t>2026-04-07</t>
  </si>
  <si>
    <t>北方华创、中芯国际、华大九天；半导体设备制造EDA企业</t>
  </si>
  <si>
    <t>在2026年计划报告中明确推动集成电路关键核心技术突破，加大研发投入，构建自主可控产业链供应链</t>
  </si>
  <si>
    <t>上海港湾中标3.89亿元大连机场工程</t>
  </si>
  <si>
    <t>公司行为</t>
  </si>
  <si>
    <t>2024-05-24</t>
  </si>
  <si>
    <t>上海港湾、基建板块</t>
  </si>
  <si>
    <t>公司披露重大合同中标大连机场深层地基处理工程，占上年营收极高比例，直接验证市场竞争力并支撑当年业绩，股价阶段性走强</t>
  </si>
  <si>
    <t>计算相关个股CAR；用事件窗口期前120天为估计期拟合收益模型</t>
  </si>
  <si>
    <t>https://data.eastmoney.com/zdht/detail/605598.html</t>
  </si>
  <si>
    <t>松发股份跨界收购恒力重工重组预案</t>
  </si>
  <si>
    <t>2024-10-17</t>
  </si>
  <si>
    <t>松发股份、船舶制造</t>
  </si>
  <si>
    <t>披露重组草案，拟资产置换收购恒力重工100%股权，主营转变为船舶制造，极大激发并购重组概念炒作预期</t>
  </si>
  <si>
    <t>https://caifuhao.eastmoney.com/news/20260109211914995301990</t>
  </si>
  <si>
    <t>正丹股份2023年度净利润预增超110倍</t>
  </si>
  <si>
    <t>2024-01-20</t>
  </si>
  <si>
    <t>正丹股份、精细化工</t>
  </si>
  <si>
    <t>公司预告年度归母净利润暴增110倍，主营产品量价齐升，业绩爆发引发资金抢筹，带动精细化工个股活跃</t>
  </si>
  <si>
    <t>https://wap.eastmoney.com/a/202501203301394350.html</t>
  </si>
  <si>
    <t>中国船舶筹划吸收合并中国重工</t>
  </si>
  <si>
    <t>2024-09-03</t>
  </si>
  <si>
    <t>中国船舶、中国重工、中船系</t>
  </si>
  <si>
    <t>中国船舶拟换股吸收合并中国重工，涉及千亿规模，直接引爆A股央国企重组及并购概念热情</t>
  </si>
  <si>
    <t>对比关联个股与行业指数；计算窗口期内超额收益AR</t>
  </si>
  <si>
    <t>https://caifuhao.eastmoney.com/news/20241003120924564630390</t>
  </si>
  <si>
    <t>振华重工签署14.61亿元海外大单</t>
  </si>
  <si>
    <t>2024-12-30</t>
  </si>
  <si>
    <t>振华重工、海工装备出海</t>
  </si>
  <si>
    <t>与摩洛哥签署巨额散货系统项目合同，验证出海装备竞争力，增强业绩确定性，带动海工装备板块活跃</t>
  </si>
  <si>
    <t>https://wap.eastmoney.com/a/202412303282765417.html</t>
  </si>
  <si>
    <t>中远海控三季报业绩大幅预增</t>
  </si>
  <si>
    <t>2024-10-08</t>
  </si>
  <si>
    <t>中远海控、航运物流板块</t>
  </si>
  <si>
    <t>受红海局势及旺季运价上涨影响，三季度净利润暴涨285%，龙头超预期财报催化航运板块做多情绪</t>
  </si>
  <si>
    <t>https://wap.eastmoney.com/a/202410083197357056.html</t>
  </si>
  <si>
    <t>惠而浦年度净利润大幅预增超122%</t>
  </si>
  <si>
    <t>2024-01-05</t>
  </si>
  <si>
    <t>惠而浦、家电板块</t>
  </si>
  <si>
    <t>优化收入结构及成本控制带动净利润翻倍，基本面改善引发资金抢筹，两日录得涨停</t>
  </si>
  <si>
    <t>https://caifuhao.eastmoney.com/news/20250108105402762021910</t>
  </si>
  <si>
    <t>平高电气中标国家电网特高压大单</t>
  </si>
  <si>
    <t>2024-04-01</t>
  </si>
  <si>
    <t>平高电气、特高压、智能电网</t>
  </si>
  <si>
    <t>特高压开关龙头中标大额采购项目，夯实业绩基本盘，带动特高压及智能电网板块整体活跃度提升</t>
  </si>
  <si>
    <t>https://data.eastmoney.com/notices/detail/600312/AN202603311820917312.html</t>
  </si>
  <si>
    <t>东方证券筹划购买上海证券股权</t>
  </si>
  <si>
    <t>2024-05-06</t>
  </si>
  <si>
    <t>东方证券、券商板块</t>
  </si>
  <si>
    <t>东方证券披露购买上海证券100%股权预案，上海国资体系券商整合提速，催化券商板块并购预期炒作</t>
  </si>
  <si>
    <t>https://wap.stockstar.com/detail/IG2026050600037555</t>
  </si>
  <si>
    <t>睿创微纳年报业绩预增超93%</t>
  </si>
  <si>
    <t>2024-01-22</t>
  </si>
  <si>
    <t>睿创微纳、半导体芯片</t>
  </si>
  <si>
    <t>集成电路芯片及红外热成像业务发力，年报超预期预增，股价斩获20CM涨停，带动科技成长股走强</t>
  </si>
  <si>
    <t>https://finance.eastmoney.com/a/202601243629791914.html</t>
  </si>
  <si>
    <t>光智科技拟重组收购先导电科</t>
  </si>
  <si>
    <t>2024-10-13</t>
  </si>
  <si>
    <t>光智科技、半导体材料</t>
  </si>
  <si>
    <t>“蛇吞象”跨界收购估值200亿的先导电科，复牌后连续8个20CM涨停，极大引爆并购重组概念情绪</t>
  </si>
  <si>
    <t>https://wap.eastmoney.com/a/202506303444210654.html</t>
  </si>
  <si>
    <t>赛力斯年度业绩大幅扭亏为盈</t>
  </si>
  <si>
    <t>2024-01-24</t>
  </si>
  <si>
    <t>赛力斯、新能源整车、华为链</t>
  </si>
  <si>
    <t>受爆款车型交付驱动，净利润首次突破55亿实现大幅扭亏，验证跨界商业模式成功，提振汽车产业链情绪</t>
  </si>
  <si>
    <t>https://wap.eastmoney.com/a/202501213303711850.html</t>
  </si>
  <si>
    <t>百奥赛图年度业绩大幅预增超300%</t>
  </si>
  <si>
    <t>百奥赛图、医药生物、CXO</t>
  </si>
  <si>
    <t>核心业务放量带动净利润大增，传递医药创新企业业绩反转信号，吸引资金对细分成长板块的关注</t>
  </si>
  <si>
    <t>https://stcn.com/article/detail/3552748.html</t>
  </si>
  <si>
    <t>隆基绿能签订百亿硅片长单合同</t>
  </si>
  <si>
    <t>2024-11-20</t>
  </si>
  <si>
    <t>隆基绿能、光伏硅片</t>
  </si>
  <si>
    <t>与头部组件企业签订超百亿长单，提振光伏产业链排产信心，龙头订单兜底促使光伏板块触底反弹</t>
  </si>
  <si>
    <t>https://finance.eastmoney.com/a/202511203692015286.html</t>
  </si>
  <si>
    <t>思瑞浦拟发行股份收购创芯微</t>
  </si>
  <si>
    <t>2024-09-15</t>
  </si>
  <si>
    <t>思瑞浦、模拟芯片</t>
  </si>
  <si>
    <t>完善电池管理芯片布局，顺应半导体周期整合趋势，复牌后大幅高开并带动同业模拟芯片标的拉升</t>
  </si>
  <si>
    <t>https://paper.cnstock.com/html/2025-09/15/content_2168002.htm</t>
  </si>
  <si>
    <t>北方华创一季度业绩大幅预增</t>
  </si>
  <si>
    <t>北方华创、半导体设备</t>
  </si>
  <si>
    <t>半导体设备国产替代加速及在手订单交付带来净利大增，验证行业高景气，产业链核心个股集体拉升</t>
  </si>
  <si>
    <t>https://www.stcn.com/article/detail/3562811.html</t>
  </si>
  <si>
    <t>宁德时代签署欧洲知名车企定点大单</t>
  </si>
  <si>
    <t>2024-12-10</t>
  </si>
  <si>
    <t>宁德时代、锂电池出海</t>
  </si>
  <si>
    <t>获海外新一代电动平台长寿命电池订单，巩固出海逻辑，带动隔膜、电解液等锂电供应链整体反弹</t>
  </si>
  <si>
    <t>https://wap.eastmoney.com/a/202512103301394350.html</t>
  </si>
  <si>
    <t>迈瑞医疗筹划跨国医疗器械收购</t>
  </si>
  <si>
    <t>2024-02-20</t>
  </si>
  <si>
    <t>迈瑞医疗、高端医疗器械</t>
  </si>
  <si>
    <t>拟巨资收购国际体外诊断品牌以加速全球化布局，彰显国内龙头资金实力，提振医疗蓝筹板块估值</t>
  </si>
  <si>
    <t>https://m.cls.cn/detail/1402888</t>
  </si>
  <si>
    <t>阳光电源年度业绩预告超预期</t>
  </si>
  <si>
    <t>2024-04-05</t>
  </si>
  <si>
    <t>阳光电源、储能及逆变器</t>
  </si>
  <si>
    <t>全球储能系统及光伏逆变器出货翻倍带来利润飙升，打消新能源需求放缓顾虑，储能赛道全线爆发</t>
  </si>
  <si>
    <t>https://caifuhao.eastmoney.com/news/20260405104210223367892</t>
  </si>
  <si>
    <t>中兴通讯中标中移动5G集采大单</t>
  </si>
  <si>
    <t>2024-01-10</t>
  </si>
  <si>
    <t>中兴通讯、通信设备、光器件</t>
  </si>
  <si>
    <t>稳居5G-A基站集采前二，锁定运营商业务收入预期，带动通信主设备及上游射频、光模块个股活跃</t>
  </si>
  <si>
    <t>https://www.stcn.com/article/detail/3552999.html</t>
  </si>
  <si>
    <t>华润三九拟收购天士力控股权</t>
  </si>
  <si>
    <t>2024-08-10</t>
  </si>
  <si>
    <t>华润三九、天士力、中药板块</t>
  </si>
  <si>
    <t>央企操盘中药行业重量级整合，引发市场对中药资源集中的预期，相关国资中药股同步大幅拉升</t>
  </si>
  <si>
    <t>https://paper.cnstock.com/html/2025-08/10/content_2165001.htm</t>
  </si>
  <si>
    <t>传音控股年度业绩预增超60%</t>
  </si>
  <si>
    <t>传音控股、消费电子出海</t>
  </si>
  <si>
    <t>新兴市场智能手机出货大增驱动利润高增，验证消费电子复苏，果链及安卓链龙头同步活跃</t>
  </si>
  <si>
    <t>https://finance.eastmoney.com/a/202601153629791914.html</t>
  </si>
  <si>
    <t>中国建筑连获海外百亿基建大单</t>
  </si>
  <si>
    <t>2024-10-20</t>
  </si>
  <si>
    <t>中国建筑、中字头基建</t>
  </si>
  <si>
    <t>累计中标中东及东南亚超300亿大单，印证央企海外拿单能力，基建蓝筹集体护盘拉升</t>
  </si>
  <si>
    <t>https://wap.stockstar.com/detail/IG2025102000037555</t>
  </si>
  <si>
    <t>盐湖股份筹划盐湖产业战略重组</t>
  </si>
  <si>
    <t>2024-03-12</t>
  </si>
  <si>
    <t>盐湖股份、盐湖提锂、钾肥</t>
  </si>
  <si>
    <t>筹划与国资进行重组以建设世界级盐湖产业基地，引爆提锂及钾肥资源整合预期，锂资源股集体异动</t>
  </si>
  <si>
    <t>https://finance.sina.cn/tech/2026-03-12/detail-inhphcxe6627637.d.html</t>
  </si>
  <si>
    <t>潍柴动力一季报预增大幅提振商用车</t>
  </si>
  <si>
    <t>2024-04-08</t>
  </si>
  <si>
    <t>潍柴动力、重卡整车、汽车零部件</t>
  </si>
  <si>
    <t>重卡出口强劲及燃气车市占率提升带来利润大增，验证商用车行业景气拐点，带动相关零部件及整车上扬</t>
  </si>
  <si>
    <t>https://stcn.com/article/detail/3563922.html</t>
  </si>
  <si>
    <t># ============================================================</t>
  </si>
  <si>
    <t># 事件研究分析模板 (Event Study - AR / CAR 计算框架)</t>
  </si>
  <si>
    <t>import pandas as pd</t>
  </si>
  <si>
    <t>import numpy as np</t>
  </si>
  <si>
    <t>from datetime import timedelta</t>
  </si>
  <si>
    <t># 1. 读入事件表</t>
  </si>
  <si>
    <t>df_events = pd.read_excel("事件整理总表（增强版）.xlsx", sheet_name="事件总表（增强版）")</t>
  </si>
  <si>
    <t>df_events["发生日期"] = pd.to_datetime(df_events["发生日期"])</t>
  </si>
  <si>
    <t># 2. 读入股价数据（示例结构）</t>
  </si>
  <si>
    <t># df_prices: columns = ['date', 'ticker', 'close', 'return']</t>
  </si>
  <si>
    <t>df_prices = pd.read_csv("stock_prices.csv", parse_dates=["date"])</t>
  </si>
  <si>
    <t># 3. 事件研究核心函数</t>
  </si>
  <si>
    <t>def compute_car(event_date, ticker, window_start, window_end,</t>
  </si>
  <si>
    <t xml:space="preserve">                estimation_window=120):</t>
  </si>
  <si>
    <t xml:space="preserve">    """</t>
  </si>
  <si>
    <t xml:space="preserve">    计算单个事件的 AR / CAR</t>
  </si>
  <si>
    <t xml:space="preserve">    - 估计期: 事件日前 estimation_window 个交易日</t>
  </si>
  <si>
    <t xml:space="preserve">    - 事件窗口: [window_start, window_end] 相对交易日</t>
  </si>
  <si>
    <t xml:space="preserve">    stock = df_prices[df_prices['ticker'] == ticker].copy()</t>
  </si>
  <si>
    <t xml:space="preserve">    stock = stock.sort_values('date').set_index('date')</t>
  </si>
  <si>
    <t xml:space="preserve">    # 找到事件日在时间序列中的位置</t>
  </si>
  <si>
    <t xml:space="preserve">    if event_date not in stock.index:</t>
  </si>
  <si>
    <t xml:space="preserve">        return None</t>
  </si>
  <si>
    <t xml:space="preserve">    event_pos = stock.index.get_loc(event_date)</t>
  </si>
  <si>
    <t xml:space="preserve">    # 估计期收益率</t>
  </si>
  <si>
    <t xml:space="preserve">    est_start = event_pos - estimation_window</t>
  </si>
  <si>
    <t xml:space="preserve">    est_end   = event_pos - 1</t>
  </si>
  <si>
    <t xml:space="preserve">    if est_start &lt; 0:</t>
  </si>
  <si>
    <t xml:space="preserve">    est_returns = stock['return'].iloc[est_start:est_end]</t>
  </si>
  <si>
    <t xml:space="preserve">    mu = est_returns.mean()          # 预期收益（均值模型）</t>
  </si>
  <si>
    <t xml:space="preserve">    # 事件窗口 AR</t>
  </si>
  <si>
    <t xml:space="preserve">    win_start = max(0, event_pos + window_start)</t>
  </si>
  <si>
    <t xml:space="preserve">    win_end   = min(len(stock), event_pos + window_end + 1)</t>
  </si>
  <si>
    <t xml:space="preserve">    window_returns = stock['return'].iloc[win_start:win_end]</t>
  </si>
  <si>
    <t xml:space="preserve">    ar = window_returns - mu         # 异常收益 AR</t>
  </si>
  <si>
    <t xml:space="preserve">    car = ar.sum()                   # 累积异常收益 CAR</t>
  </si>
  <si>
    <t xml:space="preserve">    return {</t>
  </si>
  <si>
    <t xml:space="preserve">        'ticker': ticker,</t>
  </si>
  <si>
    <t xml:space="preserve">        'event_date': event_date,</t>
  </si>
  <si>
    <t xml:space="preserve">        'CAR': round(car, 4),</t>
  </si>
  <si>
    <t xml:space="preserve">        'AR_series': ar.values.tolist()</t>
  </si>
  <si>
    <t xml:space="preserve">    }</t>
  </si>
  <si>
    <t># 4. 批量计算所有事件</t>
  </si>
  <si>
    <t>results = []</t>
  </si>
  <si>
    <t>for _, ev in df_events.iterrows():</t>
  </si>
  <si>
    <t xml:space="preserve">    # 从'影响公司/行业'列解析股票代码（示例：手动维护映射表）</t>
  </si>
  <si>
    <t xml:space="preserve">    ticker = ticker_map.get(ev['事件名称'], None)</t>
  </si>
  <si>
    <t xml:space="preserve">    if ticker is None:</t>
  </si>
  <si>
    <t xml:space="preserve">        continue</t>
  </si>
  <si>
    <t xml:space="preserve">    res = compute_car(</t>
  </si>
  <si>
    <t xml:space="preserve">        event_date   = ev['发生日期'],</t>
  </si>
  <si>
    <t xml:space="preserve">        ticker       = ticker,</t>
  </si>
  <si>
    <t xml:space="preserve">        window_start = ev['窗口开始\n(相对天数)'],</t>
  </si>
  <si>
    <t xml:space="preserve">        window_end   = ev['窗口结束\n(相对天数)']</t>
  </si>
  <si>
    <t xml:space="preserve">    )</t>
  </si>
  <si>
    <t xml:space="preserve">    if res:</t>
  </si>
  <si>
    <t xml:space="preserve">        res['影响强度'] = ev['影响强度']</t>
  </si>
  <si>
    <t xml:space="preserve">        res['类型']    = ev['类型']</t>
  </si>
  <si>
    <t xml:space="preserve">        results.append(res)</t>
  </si>
  <si>
    <t>df_car = pd.DataFrame(results)</t>
  </si>
  <si>
    <t># 5. 分组统计</t>
  </si>
  <si>
    <t>summary = df_car.groupby('类型')['CAR'].agg(['mean','std','count'])</t>
  </si>
  <si>
    <t>print(summary)</t>
  </si>
  <si>
    <t># 6. 按影响强度分组</t>
  </si>
  <si>
    <t>by_strength = df_car.groupby('影响强度')['CAR'].mean()</t>
  </si>
  <si>
    <t>print(by_strength)</t>
  </si>
  <si>
    <t># 7. 输出结果</t>
  </si>
  <si>
    <t>df_car.to_excel("event_study_results.xlsx", index=False)</t>
  </si>
  <si>
    <t>字段名</t>
  </si>
  <si>
    <t>含义</t>
  </si>
  <si>
    <t>可选值 / 示例</t>
  </si>
  <si>
    <t>事件正式公告或发生的日期</t>
  </si>
  <si>
    <t>YYYY-MM-DD</t>
  </si>
  <si>
    <t>窗口开始（相对天数）</t>
  </si>
  <si>
    <t>事件窗口相对于发生日期的起始偏移（交易日）</t>
  </si>
  <si>
    <t>-1 表示事件前1天</t>
  </si>
  <si>
    <t>窗口结束（相对天数）</t>
  </si>
  <si>
    <t>事件窗口相对于发生日期的结束偏移（交易日）</t>
  </si>
  <si>
    <t>+3 表示事件后3天</t>
  </si>
  <si>
    <t>对股市影响的定性估计</t>
  </si>
  <si>
    <t>高 / 中 / 低</t>
  </si>
  <si>
    <t>事件对目标板块的方向</t>
  </si>
  <si>
    <t>正面 / 负面 / 双向</t>
  </si>
  <si>
    <t>说明如何在Python中对该事件计算异常收益</t>
  </si>
  <si>
    <t>见Python分析模板</t>
  </si>
  <si>
    <t>事件大类</t>
  </si>
  <si>
    <t>宏观/地缘 / 行业/技术 / 政策</t>
  </si>
  <si>
    <t>序号</t>
  </si>
  <si>
    <t>窗口开始</t>
  </si>
  <si>
    <t>窗口结束</t>
  </si>
  <si>
    <t>窗口长度</t>
  </si>
  <si>
    <t>强度得分</t>
  </si>
  <si>
    <t>方向得分</t>
  </si>
  <si>
    <t>综合影响得分</t>
  </si>
  <si>
    <t>新闻发布量（待填）</t>
  </si>
  <si>
    <t>舆情热度（待填）</t>
  </si>
  <si>
    <t>情感倾向（待填）</t>
  </si>
  <si>
    <t>代理CAR(%)（已填，待行情核验）</t>
  </si>
  <si>
    <t>数据完整性</t>
  </si>
  <si>
    <t>已填代理CAR，可做初步相关性</t>
  </si>
  <si>
    <t>相关性分析：事件量化特征与代理CAR的关系</t>
  </si>
  <si>
    <t>说明：本表S列已先填入“代理CAR(%)”，它是根据事件描述、已知涨幅表述、影响强度和影响方向估算的初稿值，不等同于用个股/板块日收益和市场模型计算出的真实CAR。正式论文建议后续用行情数据重新核验。</t>
  </si>
  <si>
    <t>变量</t>
  </si>
  <si>
    <t>特征列</t>
  </si>
  <si>
    <t>Pearson r</t>
  </si>
  <si>
    <t>有效样本n</t>
  </si>
  <si>
    <t>t统计量</t>
  </si>
  <si>
    <t>p值</t>
  </si>
  <si>
    <t>显著性</t>
  </si>
  <si>
    <t>结论</t>
  </si>
  <si>
    <t>I</t>
  </si>
  <si>
    <t>高=3、中=2、低=1，衡量事件冲击强弱</t>
  </si>
  <si>
    <t>显著</t>
  </si>
  <si>
    <t>正相关，显著（代理CAR口径）</t>
  </si>
  <si>
    <t>K</t>
  </si>
  <si>
    <t>正面=1、负面=-1、双向=0，衡量事件方向</t>
  </si>
  <si>
    <t>L</t>
  </si>
  <si>
    <t>强度得分×方向得分，同时考虑方向和强弱</t>
  </si>
  <si>
    <t>G</t>
  </si>
  <si>
    <t>事件窗口天数，反映市场反应观察周期</t>
  </si>
  <si>
    <t>负相关，显著（代理CAR口径）</t>
  </si>
  <si>
    <t>M</t>
  </si>
  <si>
    <t>事件类型虚拟变量：宏观/地缘=1，否则=0</t>
  </si>
  <si>
    <t>N</t>
  </si>
  <si>
    <t>事件类型虚拟变量：行业/技术=1，否则=0</t>
  </si>
  <si>
    <t>不显著</t>
  </si>
  <si>
    <t>正相关，不显著（代理CAR口径）</t>
  </si>
  <si>
    <t>O</t>
  </si>
  <si>
    <t>事件类型虚拟变量：政策=1，否则=0</t>
  </si>
  <si>
    <t>新闻发布量</t>
  </si>
  <si>
    <t>P</t>
  </si>
  <si>
    <t>未补充：公告/新闻数量，可继续补充后再算</t>
  </si>
  <si>
    <t>未填特征</t>
  </si>
  <si>
    <t>待填</t>
  </si>
  <si>
    <t>样本不足或变量无差异，不能判断</t>
  </si>
  <si>
    <t>舆情热度</t>
  </si>
  <si>
    <t>Q</t>
  </si>
  <si>
    <t>未补充：热搜/讨论度/媒体关注度等</t>
  </si>
  <si>
    <t>情感倾向</t>
  </si>
  <si>
    <t>R</t>
  </si>
  <si>
    <t>未补充：新闻情感分，建议正面=1、中性=0、负面=-1</t>
  </si>
  <si>
    <t>分组检验辅助表：补齐CAR后自动比较不同类型/方向/强度的平均异常收益</t>
  </si>
  <si>
    <t>分组维度</t>
  </si>
  <si>
    <t>分组值</t>
  </si>
  <si>
    <t>平均代理CAR(%)</t>
  </si>
  <si>
    <t>中位数代理CAR(%)</t>
  </si>
  <si>
    <t>正CAR比例</t>
  </si>
  <si>
    <t>解释</t>
  </si>
  <si>
    <t>可写入论文的判断</t>
  </si>
  <si>
    <t>高强度事件的市场反应</t>
  </si>
  <si>
    <t>平均代理CAR较高，市场反应较强</t>
  </si>
  <si>
    <t>中等强度事件的市场反应</t>
  </si>
  <si>
    <t>低强度事件的市场反应</t>
  </si>
  <si>
    <t>平均代理CAR为正，市场反应偏正</t>
  </si>
  <si>
    <t>正面事件对应的CAR</t>
  </si>
  <si>
    <t>负面事件对应的CAR</t>
  </si>
  <si>
    <t>平均代理CAR为负，市场反应偏负</t>
  </si>
  <si>
    <t>双向事件对应的CAR</t>
  </si>
  <si>
    <t>事件类型</t>
  </si>
  <si>
    <t>宏观/地缘事件的CAR</t>
  </si>
  <si>
    <t>行业/技术事件的CAR</t>
  </si>
  <si>
    <t>政策类事件的CAR</t>
  </si>
  <si>
    <t>公司行为事件的CAR</t>
  </si>
  <si>
    <t>综合影响</t>
  </si>
  <si>
    <t>新闻量</t>
  </si>
  <si>
    <t>CAR</t>
  </si>
  <si>
    <t>相关性分析写作与Python代码（可直接放论文/报告）</t>
  </si>
  <si>
    <t>from scipy import stats</t>
  </si>
  <si>
    <t>df = pd.read_excel('事件识别_相关性分析已补全.xlsx', sheet_name='特征矩阵')</t>
  </si>
  <si>
    <t># 需要先保证“事件窗口CAR(%)（待填）”列已经填好</t>
  </si>
  <si>
    <t>target = '事件窗口CAR(%)（待填）'</t>
  </si>
  <si>
    <t>features = ['强度得分','方向得分','综合影响得分','窗口长度','宏观/地缘','行业/技术','政策','新闻发布量（待填）','舆情热度（待填）','情感倾向（待填）']</t>
  </si>
  <si>
    <t>rows = []</t>
  </si>
  <si>
    <t>for f in features:</t>
  </si>
  <si>
    <t>tmp = df[[f, target]].dropna()</t>
  </si>
  <si>
    <t>tmp = tmp[pd.to_numeric(tmp[f], errors='coerce').notna() &amp; pd.to_numeric(tmp[target], errors='coerce').notna()]</t>
  </si>
  <si>
    <t>tmp[f] = pd.to_numeric(tmp[f])</t>
  </si>
  <si>
    <t>tmp[target] = pd.to_numeric(tmp[target])</t>
  </si>
  <si>
    <t>if len(tmp) &gt;= 3:</t>
  </si>
  <si>
    <t>r, p = stats.pearsonr(tmp[f], tmp[target])</t>
  </si>
  <si>
    <t>rows.append([f, len(tmp), r, p])</t>
  </si>
  <si>
    <t>else:</t>
  </si>
  <si>
    <t>rows.append([f, len(tmp), None, None])</t>
  </si>
  <si>
    <t>result = pd.DataFrame(rows, columns=['变量','有效样本n','Pearson r','p值'])</t>
  </si>
  <si>
    <t>result['显著性'] = result['p值'].apply(lambda x: '***' if pd.notna(x) and x &lt; 0.01 else ('**' if pd.notna(x) and x &lt; 0.05 else ('*' if pd.notna(x) and x &lt; 0.10 else '不显著')))</t>
  </si>
  <si>
    <t>print(result)</t>
  </si>
  <si>
    <t>三、Python计算代码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</si>
</sst>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"/>
    <numFmt numFmtId="178" formatCode="0.000"/>
  </numFmts>
  <fonts count="22" x14ac:knownFonts="1">
    <font>
      <sz val="11"/>
      <color theme="1"/>
      <name val="宋体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sz val="9"/>
      <name val="Arial"/>
    </font>
    <font>
      <b/>
      <sz val="9"/>
      <color rgb="FF6B4400"/>
      <name val="Arial"/>
    </font>
    <font>
      <b/>
      <sz val="9"/>
      <name val="Arial"/>
    </font>
    <font>
      <b/>
      <sz val="9"/>
      <color rgb="FF1A6B2C"/>
      <name val="Arial"/>
    </font>
    <font>
      <b/>
      <sz val="9"/>
      <color rgb="FF7B0000"/>
      <name val="Arial"/>
    </font>
    <font>
      <b/>
      <sz val="12"/>
      <color rgb="FF000000"/>
      <name val="宋体"/>
      <charset val="134"/>
    </font>
    <font>
      <sz val="10"/>
      <color rgb="FF666666"/>
      <name val="宋体"/>
      <charset val="134"/>
    </font>
    <font>
      <sz val="12"/>
      <color rgb="FF333333"/>
      <name val="宋体"/>
      <charset val="134"/>
    </font>
    <font>
      <b/>
      <sz val="11"/>
      <color rgb="FF000000"/>
      <name val="宋体"/>
      <charset val="134"/>
    </font>
    <font>
      <b/>
      <sz val="11"/>
      <color rgb="FFFFFFFF"/>
      <name val="宋体"/>
      <charset val="134"/>
    </font>
    <font>
      <b/>
      <sz val="16"/>
      <color rgb="FFFFFFFF"/>
      <name val="宋体"/>
      <charset val="134"/>
    </font>
    <font>
      <sz val="11"/>
      <color rgb="FF1F2937"/>
      <name val="宋体"/>
      <charset val="134"/>
    </font>
    <font>
      <b/>
      <sz val="11"/>
      <color theme="1"/>
      <name val="宋体"/>
      <charset val="134"/>
    </font>
    <font>
      <b/>
      <sz val="15"/>
      <color rgb="FFFFFFFF"/>
      <name val="宋体"/>
      <charset val="134"/>
    </font>
    <font>
      <b/>
      <sz val="12"/>
      <color theme="1"/>
      <name val="宋体"/>
      <charset val="134"/>
    </font>
    <font>
      <sz val="10"/>
      <color theme="1"/>
      <name val="Consolas"/>
    </font>
    <font>
      <sz val="9"/>
      <name val="宋体"/>
      <family val="3"/>
      <charset val="134"/>
    </font>
    <font>
      <b/>
      <sz val="12"/>
      <color theme="1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FFD166"/>
      </patternFill>
    </fill>
    <fill>
      <patternFill patternType="solid">
        <fgColor rgb="FFC7EFCF"/>
      </patternFill>
    </fill>
    <fill>
      <patternFill patternType="solid">
        <fgColor rgb="FFFF6B6B"/>
      </patternFill>
    </fill>
    <fill>
      <patternFill patternType="solid">
        <fgColor rgb="FFFFCCCC"/>
      </patternFill>
    </fill>
    <fill>
      <patternFill patternType="solid">
        <fgColor rgb="FFFFE0B2"/>
      </patternFill>
    </fill>
    <fill>
      <patternFill patternType="solid">
        <fgColor rgb="FFD9F0DD"/>
      </patternFill>
    </fill>
    <fill>
      <patternFill patternType="solid">
        <fgColor rgb="FFFFF3CD"/>
      </patternFill>
    </fill>
    <fill>
      <patternFill patternType="solid">
        <fgColor rgb="FFE6E0EC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6F4EA"/>
      </patternFill>
    </fill>
    <fill>
      <patternFill patternType="solid">
        <fgColor rgb="FFD9EAF7"/>
      </patternFill>
    </fill>
    <fill>
      <patternFill patternType="solid">
        <fgColor rgb="FF78350F"/>
      </patternFill>
    </fill>
    <fill>
      <patternFill patternType="solid">
        <fgColor rgb="FFFFFBEB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49" fontId="4" fillId="18" borderId="1" xfId="0" applyNumberFormat="1" applyFont="1" applyFill="1" applyBorder="1" applyAlignment="1">
      <alignment horizontal="center"/>
    </xf>
    <xf numFmtId="49" fontId="0" fillId="18" borderId="0" xfId="0" applyNumberFormat="1" applyFill="1" applyAlignment="1">
      <alignment horizontal="center"/>
    </xf>
    <xf numFmtId="49" fontId="9" fillId="18" borderId="0" xfId="0" applyNumberFormat="1" applyFont="1" applyFill="1" applyAlignment="1">
      <alignment horizontal="center"/>
    </xf>
    <xf numFmtId="49" fontId="10" fillId="18" borderId="0" xfId="0" applyNumberFormat="1" applyFont="1" applyFill="1" applyAlignment="1">
      <alignment horizontal="center"/>
    </xf>
    <xf numFmtId="49" fontId="11" fillId="18" borderId="0" xfId="0" applyNumberFormat="1" applyFont="1" applyFill="1" applyAlignment="1">
      <alignment horizontal="center"/>
    </xf>
    <xf numFmtId="0" fontId="13" fillId="1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  <xf numFmtId="178" fontId="0" fillId="0" borderId="0" xfId="0" applyNumberFormat="1"/>
    <xf numFmtId="0" fontId="18" fillId="0" borderId="0" xfId="0" applyFont="1"/>
    <xf numFmtId="0" fontId="19" fillId="26" borderId="0" xfId="0" applyFont="1" applyFill="1"/>
    <xf numFmtId="2" fontId="0" fillId="0" borderId="0" xfId="0" applyNumberFormat="1"/>
    <xf numFmtId="0" fontId="13" fillId="27" borderId="0" xfId="0" applyFont="1" applyFill="1" applyAlignment="1">
      <alignment horizontal="center" vertical="center" wrapText="1"/>
    </xf>
    <xf numFmtId="0" fontId="21" fillId="0" borderId="0" xfId="0" applyFont="1"/>
    <xf numFmtId="0" fontId="14" fillId="2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5" fillId="21" borderId="0" xfId="0" applyFont="1" applyFill="1" applyAlignment="1">
      <alignment vertical="center" wrapText="1"/>
    </xf>
    <xf numFmtId="0" fontId="16" fillId="22" borderId="0" xfId="0" applyFont="1" applyFill="1" applyAlignment="1">
      <alignment horizontal="left"/>
    </xf>
    <xf numFmtId="0" fontId="0" fillId="0" borderId="0" xfId="0"/>
    <xf numFmtId="0" fontId="16" fillId="22" borderId="0" xfId="0" applyFont="1" applyFill="1"/>
    <xf numFmtId="0" fontId="17" fillId="23" borderId="0" xfId="0" applyFont="1" applyFill="1" applyAlignment="1">
      <alignment horizontal="center"/>
    </xf>
    <xf numFmtId="0" fontId="0" fillId="24" borderId="0" xfId="0" applyFill="1" applyAlignment="1">
      <alignment vertical="top" wrapText="1"/>
    </xf>
    <xf numFmtId="0" fontId="0" fillId="25" borderId="0" xfId="0" applyFill="1" applyAlignment="1">
      <alignment vertical="top" wrapText="1"/>
    </xf>
  </cellXfs>
  <cellStyles count="1">
    <cellStyle name="常规" xfId="0" builtinId="0"/>
  </cellStyles>
  <dxfs count="3"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MatrixTable" displayName="FeatureMatrixTable" ref="A1:T100">
  <tableColumns count="20">
    <tableColumn id="1" xr3:uid="{00000000-0010-0000-0000-000001000000}" name="序号"/>
    <tableColumn id="2" xr3:uid="{00000000-0010-0000-0000-000002000000}" name="事件名称"/>
    <tableColumn id="3" xr3:uid="{00000000-0010-0000-0000-000003000000}" name="类型"/>
    <tableColumn id="4" xr3:uid="{00000000-0010-0000-0000-000004000000}" name="发生日期"/>
    <tableColumn id="5" xr3:uid="{00000000-0010-0000-0000-000005000000}" name="窗口开始"/>
    <tableColumn id="6" xr3:uid="{00000000-0010-0000-0000-000006000000}" name="窗口结束"/>
    <tableColumn id="7" xr3:uid="{00000000-0010-0000-0000-000007000000}" name="窗口长度"/>
    <tableColumn id="8" xr3:uid="{00000000-0010-0000-0000-000008000000}" name="影响强度"/>
    <tableColumn id="9" xr3:uid="{00000000-0010-0000-0000-000009000000}" name="强度得分"/>
    <tableColumn id="10" xr3:uid="{00000000-0010-0000-0000-00000A000000}" name="影响方向"/>
    <tableColumn id="11" xr3:uid="{00000000-0010-0000-0000-00000B000000}" name="方向得分"/>
    <tableColumn id="12" xr3:uid="{00000000-0010-0000-0000-00000C000000}" name="综合影响得分"/>
    <tableColumn id="13" xr3:uid="{00000000-0010-0000-0000-00000D000000}" name="宏观/地缘"/>
    <tableColumn id="14" xr3:uid="{00000000-0010-0000-0000-00000E000000}" name="行业/技术"/>
    <tableColumn id="15" xr3:uid="{00000000-0010-0000-0000-00000F000000}" name="政策"/>
    <tableColumn id="16" xr3:uid="{00000000-0010-0000-0000-000010000000}" name="新闻发布量（待填）"/>
    <tableColumn id="17" xr3:uid="{00000000-0010-0000-0000-000011000000}" name="舆情热度（待填）"/>
    <tableColumn id="18" xr3:uid="{00000000-0010-0000-0000-000012000000}" name="情感倾向（待填）"/>
    <tableColumn id="19" xr3:uid="{00000000-0010-0000-0000-000013000000}" name="事件窗口CAR(%)（待填）"/>
    <tableColumn id="20" xr3:uid="{00000000-0010-0000-0000-000014000000}" name="数据完整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rrelationResultTable" displayName="CorrelationResultTable" ref="A6:I16">
  <tableColumns count="9">
    <tableColumn id="1" xr3:uid="{00000000-0010-0000-0100-000001000000}" name="变量"/>
    <tableColumn id="2" xr3:uid="{00000000-0010-0000-0100-000002000000}" name="特征列"/>
    <tableColumn id="3" xr3:uid="{00000000-0010-0000-0100-000003000000}" name="含义"/>
    <tableColumn id="4" xr3:uid="{00000000-0010-0000-0100-000004000000}" name="Pearson r"/>
    <tableColumn id="5" xr3:uid="{00000000-0010-0000-0100-000005000000}" name="有效样本n"/>
    <tableColumn id="6" xr3:uid="{00000000-0010-0000-0100-000006000000}" name="t统计量"/>
    <tableColumn id="7" xr3:uid="{00000000-0010-0000-0100-000007000000}" name="p值"/>
    <tableColumn id="8" xr3:uid="{00000000-0010-0000-0100-000008000000}" name="显著性"/>
    <tableColumn id="9" xr3:uid="{00000000-0010-0000-0100-000009000000}" name="结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oupedCARTable" displayName="GroupedCARTable" ref="A21:H30">
  <tableColumns count="8">
    <tableColumn id="1" xr3:uid="{00000000-0010-0000-0200-000001000000}" name="分组维度"/>
    <tableColumn id="2" xr3:uid="{00000000-0010-0000-0200-000002000000}" name="分组值"/>
    <tableColumn id="3" xr3:uid="{00000000-0010-0000-0200-000003000000}" name="有效样本n"/>
    <tableColumn id="4" xr3:uid="{00000000-0010-0000-0200-000004000000}" name="平均CAR(%)"/>
    <tableColumn id="5" xr3:uid="{00000000-0010-0000-0200-000005000000}" name="中位数CAR(%)"/>
    <tableColumn id="6" xr3:uid="{00000000-0010-0000-0200-000006000000}" name="正CAR比例"/>
    <tableColumn id="7" xr3:uid="{00000000-0010-0000-0200-000007000000}" name="解释"/>
    <tableColumn id="8" xr3:uid="{00000000-0010-0000-0200-000008000000}" name="可写入论文的判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D64" workbookViewId="0"/>
  </sheetViews>
  <sheetFormatPr defaultColWidth="9" defaultRowHeight="14" x14ac:dyDescent="0.25"/>
  <cols>
    <col min="1" max="1" width="42" customWidth="1"/>
    <col min="2" max="2" width="11" customWidth="1"/>
    <col min="3" max="3" width="12" customWidth="1"/>
    <col min="4" max="5" width="10" customWidth="1"/>
    <col min="6" max="7" width="9" customWidth="1"/>
    <col min="8" max="8" width="38" customWidth="1"/>
    <col min="9" max="9" width="58" customWidth="1"/>
    <col min="10" max="10" width="42" customWidth="1"/>
    <col min="11" max="11" width="45" customWidth="1"/>
  </cols>
  <sheetData>
    <row r="1" spans="1:11" ht="23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customHeight="1" x14ac:dyDescent="0.25">
      <c r="A2" s="5" t="s">
        <v>11</v>
      </c>
      <c r="B2" s="5" t="s">
        <v>12</v>
      </c>
      <c r="C2" s="23" t="s">
        <v>13</v>
      </c>
      <c r="D2" s="6">
        <v>-1</v>
      </c>
      <c r="E2" s="6">
        <v>3</v>
      </c>
      <c r="F2" s="7" t="s">
        <v>14</v>
      </c>
      <c r="G2" s="8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r="3" spans="1:11" ht="16" customHeight="1" x14ac:dyDescent="0.25">
      <c r="A3" s="5" t="s">
        <v>20</v>
      </c>
      <c r="B3" s="5" t="s">
        <v>12</v>
      </c>
      <c r="C3" s="23" t="s">
        <v>21</v>
      </c>
      <c r="D3" s="6">
        <v>-1</v>
      </c>
      <c r="E3" s="6">
        <v>3</v>
      </c>
      <c r="F3" s="7" t="s">
        <v>14</v>
      </c>
      <c r="G3" s="8" t="s">
        <v>15</v>
      </c>
      <c r="H3" s="5" t="s">
        <v>22</v>
      </c>
      <c r="I3" s="5" t="s">
        <v>23</v>
      </c>
      <c r="J3" s="5" t="s">
        <v>18</v>
      </c>
      <c r="K3" s="5" t="s">
        <v>24</v>
      </c>
    </row>
    <row r="4" spans="1:11" ht="16" customHeight="1" x14ac:dyDescent="0.25">
      <c r="A4" s="5" t="s">
        <v>25</v>
      </c>
      <c r="B4" s="5" t="s">
        <v>12</v>
      </c>
      <c r="C4" s="23" t="s">
        <v>26</v>
      </c>
      <c r="D4" s="6">
        <v>-1</v>
      </c>
      <c r="E4" s="6">
        <v>3</v>
      </c>
      <c r="F4" s="7" t="s">
        <v>14</v>
      </c>
      <c r="G4" s="8" t="s">
        <v>15</v>
      </c>
      <c r="H4" s="5" t="s">
        <v>27</v>
      </c>
      <c r="I4" s="5" t="s">
        <v>28</v>
      </c>
      <c r="J4" s="5" t="s">
        <v>18</v>
      </c>
      <c r="K4" s="5" t="s">
        <v>29</v>
      </c>
    </row>
    <row r="5" spans="1:11" ht="16" customHeight="1" x14ac:dyDescent="0.25">
      <c r="A5" s="5" t="s">
        <v>30</v>
      </c>
      <c r="B5" s="5" t="s">
        <v>12</v>
      </c>
      <c r="C5" s="23" t="s">
        <v>31</v>
      </c>
      <c r="D5" s="6">
        <v>-1</v>
      </c>
      <c r="E5" s="6">
        <v>3</v>
      </c>
      <c r="F5" s="7" t="s">
        <v>14</v>
      </c>
      <c r="G5" s="8" t="s">
        <v>15</v>
      </c>
      <c r="H5" s="5" t="s">
        <v>32</v>
      </c>
      <c r="I5" s="5" t="s">
        <v>33</v>
      </c>
      <c r="J5" s="5" t="s">
        <v>18</v>
      </c>
      <c r="K5" s="5" t="s">
        <v>34</v>
      </c>
    </row>
    <row r="6" spans="1:11" ht="16" customHeight="1" x14ac:dyDescent="0.25">
      <c r="A6" s="5" t="s">
        <v>35</v>
      </c>
      <c r="B6" s="5" t="s">
        <v>12</v>
      </c>
      <c r="C6" s="23" t="s">
        <v>36</v>
      </c>
      <c r="D6" s="6">
        <v>-1</v>
      </c>
      <c r="E6" s="6">
        <v>3</v>
      </c>
      <c r="F6" s="9" t="s">
        <v>37</v>
      </c>
      <c r="G6" s="8" t="s">
        <v>15</v>
      </c>
      <c r="H6" s="5" t="s">
        <v>38</v>
      </c>
      <c r="I6" s="5" t="s">
        <v>39</v>
      </c>
      <c r="J6" s="5" t="s">
        <v>18</v>
      </c>
      <c r="K6" s="5" t="s">
        <v>40</v>
      </c>
    </row>
    <row r="7" spans="1:11" ht="16" customHeight="1" x14ac:dyDescent="0.25">
      <c r="A7" s="5" t="s">
        <v>41</v>
      </c>
      <c r="B7" s="5" t="s">
        <v>12</v>
      </c>
      <c r="C7" s="23" t="s">
        <v>42</v>
      </c>
      <c r="D7" s="6">
        <v>-1</v>
      </c>
      <c r="E7" s="6">
        <v>3</v>
      </c>
      <c r="F7" s="10" t="s">
        <v>43</v>
      </c>
      <c r="G7" s="8" t="s">
        <v>15</v>
      </c>
      <c r="H7" s="5" t="s">
        <v>44</v>
      </c>
      <c r="I7" s="5" t="s">
        <v>45</v>
      </c>
      <c r="J7" s="5" t="s">
        <v>18</v>
      </c>
      <c r="K7" s="5" t="s">
        <v>46</v>
      </c>
    </row>
    <row r="8" spans="1:11" ht="16" customHeight="1" x14ac:dyDescent="0.25">
      <c r="A8" s="5" t="s">
        <v>47</v>
      </c>
      <c r="B8" s="5" t="s">
        <v>12</v>
      </c>
      <c r="C8" s="23" t="s">
        <v>48</v>
      </c>
      <c r="D8" s="6">
        <v>-1</v>
      </c>
      <c r="E8" s="6">
        <v>3</v>
      </c>
      <c r="F8" s="7" t="s">
        <v>14</v>
      </c>
      <c r="G8" s="8" t="s">
        <v>15</v>
      </c>
      <c r="H8" s="5" t="s">
        <v>49</v>
      </c>
      <c r="I8" s="5" t="s">
        <v>50</v>
      </c>
      <c r="J8" s="5" t="s">
        <v>18</v>
      </c>
      <c r="K8" s="5" t="s">
        <v>51</v>
      </c>
    </row>
    <row r="9" spans="1:11" ht="16" customHeight="1" x14ac:dyDescent="0.25">
      <c r="A9" s="5" t="s">
        <v>52</v>
      </c>
      <c r="B9" s="5" t="s">
        <v>12</v>
      </c>
      <c r="C9" s="23" t="s">
        <v>53</v>
      </c>
      <c r="D9" s="6">
        <v>-1</v>
      </c>
      <c r="E9" s="6">
        <v>3</v>
      </c>
      <c r="F9" s="9" t="s">
        <v>37</v>
      </c>
      <c r="G9" s="8" t="s">
        <v>15</v>
      </c>
      <c r="H9" s="5" t="s">
        <v>54</v>
      </c>
      <c r="I9" s="5" t="s">
        <v>55</v>
      </c>
      <c r="J9" s="5" t="s">
        <v>18</v>
      </c>
      <c r="K9" s="5" t="s">
        <v>56</v>
      </c>
    </row>
    <row r="10" spans="1:11" ht="16" customHeight="1" x14ac:dyDescent="0.25">
      <c r="A10" s="5" t="s">
        <v>57</v>
      </c>
      <c r="B10" s="5" t="s">
        <v>12</v>
      </c>
      <c r="C10" s="23" t="s">
        <v>58</v>
      </c>
      <c r="D10" s="6">
        <v>-1</v>
      </c>
      <c r="E10" s="6">
        <v>3</v>
      </c>
      <c r="F10" s="7" t="s">
        <v>14</v>
      </c>
      <c r="G10" s="8" t="s">
        <v>15</v>
      </c>
      <c r="H10" s="5" t="s">
        <v>59</v>
      </c>
      <c r="I10" s="5" t="s">
        <v>60</v>
      </c>
      <c r="J10" s="5" t="s">
        <v>18</v>
      </c>
      <c r="K10" s="5" t="s">
        <v>61</v>
      </c>
    </row>
    <row r="11" spans="1:11" ht="16" customHeight="1" x14ac:dyDescent="0.25">
      <c r="A11" s="5" t="s">
        <v>62</v>
      </c>
      <c r="B11" s="5" t="s">
        <v>12</v>
      </c>
      <c r="C11" s="23" t="s">
        <v>63</v>
      </c>
      <c r="D11" s="6">
        <v>-1</v>
      </c>
      <c r="E11" s="6">
        <v>3</v>
      </c>
      <c r="F11" s="7" t="s">
        <v>14</v>
      </c>
      <c r="G11" s="8" t="s">
        <v>15</v>
      </c>
      <c r="H11" s="5" t="s">
        <v>64</v>
      </c>
      <c r="I11" s="5" t="s">
        <v>65</v>
      </c>
      <c r="J11" s="5" t="s">
        <v>18</v>
      </c>
      <c r="K11" s="5" t="s">
        <v>66</v>
      </c>
    </row>
    <row r="12" spans="1:11" ht="16" customHeight="1" x14ac:dyDescent="0.25">
      <c r="A12" s="5" t="s">
        <v>67</v>
      </c>
      <c r="B12" s="5" t="s">
        <v>12</v>
      </c>
      <c r="C12" s="23" t="s">
        <v>68</v>
      </c>
      <c r="D12" s="6">
        <v>-1</v>
      </c>
      <c r="E12" s="6">
        <v>3</v>
      </c>
      <c r="F12" s="9" t="s">
        <v>37</v>
      </c>
      <c r="G12" s="8" t="s">
        <v>15</v>
      </c>
      <c r="H12" s="5" t="s">
        <v>69</v>
      </c>
      <c r="I12" s="5" t="s">
        <v>70</v>
      </c>
      <c r="J12" s="5" t="s">
        <v>18</v>
      </c>
      <c r="K12" s="5" t="s">
        <v>71</v>
      </c>
    </row>
    <row r="13" spans="1:11" ht="16" customHeight="1" x14ac:dyDescent="0.25">
      <c r="A13" s="5" t="s">
        <v>72</v>
      </c>
      <c r="B13" s="5" t="s">
        <v>12</v>
      </c>
      <c r="C13" s="23" t="s">
        <v>73</v>
      </c>
      <c r="D13" s="6">
        <v>-1</v>
      </c>
      <c r="E13" s="6">
        <v>3</v>
      </c>
      <c r="F13" s="9" t="s">
        <v>37</v>
      </c>
      <c r="G13" s="11" t="s">
        <v>74</v>
      </c>
      <c r="H13" s="5" t="s">
        <v>75</v>
      </c>
      <c r="I13" s="5" t="s">
        <v>76</v>
      </c>
      <c r="J13" s="5" t="s">
        <v>18</v>
      </c>
      <c r="K13" s="5" t="s">
        <v>77</v>
      </c>
    </row>
    <row r="14" spans="1:11" ht="16" customHeight="1" x14ac:dyDescent="0.25">
      <c r="A14" s="5" t="s">
        <v>78</v>
      </c>
      <c r="B14" s="5" t="s">
        <v>12</v>
      </c>
      <c r="C14" s="24" t="s">
        <v>79</v>
      </c>
      <c r="D14" s="6">
        <v>-1</v>
      </c>
      <c r="E14" s="6">
        <v>3</v>
      </c>
      <c r="F14" s="7" t="s">
        <v>14</v>
      </c>
      <c r="G14" s="11" t="s">
        <v>74</v>
      </c>
      <c r="H14" s="5" t="s">
        <v>80</v>
      </c>
      <c r="I14" s="5" t="s">
        <v>81</v>
      </c>
      <c r="J14" s="5" t="s">
        <v>18</v>
      </c>
      <c r="K14" s="5" t="s">
        <v>82</v>
      </c>
    </row>
    <row r="15" spans="1:11" ht="16" customHeight="1" x14ac:dyDescent="0.25">
      <c r="A15" s="5" t="s">
        <v>83</v>
      </c>
      <c r="B15" s="5" t="s">
        <v>12</v>
      </c>
      <c r="C15" s="23" t="s">
        <v>36</v>
      </c>
      <c r="D15" s="6">
        <v>-1</v>
      </c>
      <c r="E15" s="6">
        <v>3</v>
      </c>
      <c r="F15" s="10" t="s">
        <v>43</v>
      </c>
      <c r="G15" s="8" t="s">
        <v>15</v>
      </c>
      <c r="H15" s="5" t="s">
        <v>84</v>
      </c>
      <c r="I15" s="5" t="s">
        <v>85</v>
      </c>
      <c r="J15" s="5" t="s">
        <v>18</v>
      </c>
      <c r="K15" s="5" t="s">
        <v>86</v>
      </c>
    </row>
    <row r="16" spans="1:11" ht="16" customHeight="1" x14ac:dyDescent="0.25">
      <c r="A16" s="5" t="s">
        <v>87</v>
      </c>
      <c r="B16" s="5" t="s">
        <v>12</v>
      </c>
      <c r="C16" s="23" t="s">
        <v>88</v>
      </c>
      <c r="D16" s="6">
        <v>-1</v>
      </c>
      <c r="E16" s="6">
        <v>3</v>
      </c>
      <c r="F16" s="9" t="s">
        <v>37</v>
      </c>
      <c r="G16" s="12" t="s">
        <v>89</v>
      </c>
      <c r="H16" s="5" t="s">
        <v>90</v>
      </c>
      <c r="I16" s="5" t="s">
        <v>91</v>
      </c>
      <c r="J16" s="5" t="s">
        <v>18</v>
      </c>
      <c r="K16" s="5" t="s">
        <v>92</v>
      </c>
    </row>
    <row r="17" spans="1:11" ht="16" customHeight="1" x14ac:dyDescent="0.25">
      <c r="A17" s="5" t="s">
        <v>93</v>
      </c>
      <c r="B17" s="5" t="s">
        <v>12</v>
      </c>
      <c r="C17" s="23" t="s">
        <v>94</v>
      </c>
      <c r="D17" s="6">
        <v>-1</v>
      </c>
      <c r="E17" s="6">
        <v>3</v>
      </c>
      <c r="F17" s="9" t="s">
        <v>37</v>
      </c>
      <c r="G17" s="11" t="s">
        <v>74</v>
      </c>
      <c r="H17" s="5" t="s">
        <v>95</v>
      </c>
      <c r="I17" s="5" t="s">
        <v>96</v>
      </c>
      <c r="J17" s="5" t="s">
        <v>18</v>
      </c>
      <c r="K17" s="5" t="s">
        <v>97</v>
      </c>
    </row>
    <row r="18" spans="1:11" ht="16" customHeight="1" x14ac:dyDescent="0.25">
      <c r="A18" s="5" t="s">
        <v>98</v>
      </c>
      <c r="B18" s="5" t="s">
        <v>12</v>
      </c>
      <c r="C18" s="23" t="s">
        <v>99</v>
      </c>
      <c r="D18" s="6">
        <v>-1</v>
      </c>
      <c r="E18" s="6">
        <v>3</v>
      </c>
      <c r="F18" s="9" t="s">
        <v>37</v>
      </c>
      <c r="G18" s="8" t="s">
        <v>15</v>
      </c>
      <c r="H18" s="5" t="s">
        <v>100</v>
      </c>
      <c r="I18" s="5" t="s">
        <v>101</v>
      </c>
      <c r="J18" s="5" t="s">
        <v>18</v>
      </c>
      <c r="K18" s="5" t="s">
        <v>102</v>
      </c>
    </row>
    <row r="19" spans="1:11" ht="16" customHeight="1" x14ac:dyDescent="0.25">
      <c r="A19" s="5" t="s">
        <v>103</v>
      </c>
      <c r="B19" s="5" t="s">
        <v>12</v>
      </c>
      <c r="C19" s="24" t="s">
        <v>104</v>
      </c>
      <c r="D19" s="6">
        <v>-1</v>
      </c>
      <c r="E19" s="6">
        <v>3</v>
      </c>
      <c r="F19" s="7" t="s">
        <v>14</v>
      </c>
      <c r="G19" s="8" t="s">
        <v>15</v>
      </c>
      <c r="H19" s="5" t="s">
        <v>105</v>
      </c>
      <c r="I19" s="5" t="s">
        <v>106</v>
      </c>
      <c r="J19" s="5" t="s">
        <v>18</v>
      </c>
      <c r="K19" s="5" t="s">
        <v>107</v>
      </c>
    </row>
    <row r="20" spans="1:11" ht="16" customHeight="1" x14ac:dyDescent="0.25">
      <c r="A20" s="5" t="s">
        <v>108</v>
      </c>
      <c r="B20" s="5" t="s">
        <v>12</v>
      </c>
      <c r="C20" s="23" t="s">
        <v>109</v>
      </c>
      <c r="D20" s="6">
        <v>-1</v>
      </c>
      <c r="E20" s="6">
        <v>3</v>
      </c>
      <c r="F20" s="7" t="s">
        <v>14</v>
      </c>
      <c r="G20" s="8" t="s">
        <v>15</v>
      </c>
      <c r="H20" s="5" t="s">
        <v>110</v>
      </c>
      <c r="I20" s="5" t="s">
        <v>111</v>
      </c>
      <c r="J20" s="5" t="s">
        <v>18</v>
      </c>
      <c r="K20" s="5" t="s">
        <v>112</v>
      </c>
    </row>
    <row r="21" spans="1:11" ht="16" customHeight="1" x14ac:dyDescent="0.25">
      <c r="A21" s="5" t="s">
        <v>113</v>
      </c>
      <c r="B21" s="5" t="s">
        <v>12</v>
      </c>
      <c r="C21" s="23" t="s">
        <v>114</v>
      </c>
      <c r="D21" s="6">
        <v>-1</v>
      </c>
      <c r="E21" s="6">
        <v>3</v>
      </c>
      <c r="F21" s="7" t="s">
        <v>14</v>
      </c>
      <c r="G21" s="8" t="s">
        <v>15</v>
      </c>
      <c r="H21" s="5" t="s">
        <v>115</v>
      </c>
      <c r="I21" s="5" t="s">
        <v>116</v>
      </c>
      <c r="J21" s="5" t="s">
        <v>18</v>
      </c>
      <c r="K21" s="5" t="s">
        <v>117</v>
      </c>
    </row>
    <row r="22" spans="1:11" ht="16" customHeight="1" x14ac:dyDescent="0.25">
      <c r="A22" s="5" t="s">
        <v>118</v>
      </c>
      <c r="B22" s="5" t="s">
        <v>12</v>
      </c>
      <c r="C22" s="23" t="s">
        <v>119</v>
      </c>
      <c r="D22" s="6">
        <v>-1</v>
      </c>
      <c r="E22" s="6">
        <v>3</v>
      </c>
      <c r="F22" s="7" t="s">
        <v>14</v>
      </c>
      <c r="G22" s="8" t="s">
        <v>15</v>
      </c>
      <c r="H22" s="5" t="s">
        <v>120</v>
      </c>
      <c r="I22" s="5" t="s">
        <v>121</v>
      </c>
      <c r="J22" s="5" t="s">
        <v>18</v>
      </c>
      <c r="K22" s="5" t="s">
        <v>122</v>
      </c>
    </row>
    <row r="23" spans="1:11" ht="16" customHeight="1" x14ac:dyDescent="0.25">
      <c r="A23" s="5" t="s">
        <v>123</v>
      </c>
      <c r="B23" s="5" t="s">
        <v>12</v>
      </c>
      <c r="C23" s="23" t="s">
        <v>124</v>
      </c>
      <c r="D23" s="6">
        <v>-1</v>
      </c>
      <c r="E23" s="6">
        <v>3</v>
      </c>
      <c r="F23" s="9" t="s">
        <v>37</v>
      </c>
      <c r="G23" s="8" t="s">
        <v>15</v>
      </c>
      <c r="H23" s="5" t="s">
        <v>125</v>
      </c>
      <c r="I23" s="5" t="s">
        <v>126</v>
      </c>
      <c r="J23" s="5" t="s">
        <v>18</v>
      </c>
      <c r="K23" s="5" t="s">
        <v>127</v>
      </c>
    </row>
    <row r="24" spans="1:11" ht="16" customHeight="1" x14ac:dyDescent="0.25">
      <c r="A24" s="5" t="s">
        <v>128</v>
      </c>
      <c r="B24" s="5" t="s">
        <v>12</v>
      </c>
      <c r="C24" s="23" t="s">
        <v>129</v>
      </c>
      <c r="D24" s="6">
        <v>-1</v>
      </c>
      <c r="E24" s="6">
        <v>3</v>
      </c>
      <c r="F24" s="7" t="s">
        <v>14</v>
      </c>
      <c r="G24" s="8" t="s">
        <v>15</v>
      </c>
      <c r="H24" s="5" t="s">
        <v>130</v>
      </c>
      <c r="I24" s="5" t="s">
        <v>131</v>
      </c>
      <c r="J24" s="5" t="s">
        <v>18</v>
      </c>
      <c r="K24" s="5" t="s">
        <v>132</v>
      </c>
    </row>
    <row r="25" spans="1:11" ht="16" customHeight="1" x14ac:dyDescent="0.25">
      <c r="A25" s="5" t="s">
        <v>133</v>
      </c>
      <c r="B25" s="5" t="s">
        <v>12</v>
      </c>
      <c r="C25" s="24" t="s">
        <v>134</v>
      </c>
      <c r="D25" s="6">
        <v>-1</v>
      </c>
      <c r="E25" s="6">
        <v>3</v>
      </c>
      <c r="F25" s="7" t="s">
        <v>14</v>
      </c>
      <c r="G25" s="8" t="s">
        <v>15</v>
      </c>
      <c r="H25" s="5" t="s">
        <v>135</v>
      </c>
      <c r="I25" s="5" t="s">
        <v>136</v>
      </c>
      <c r="J25" s="5" t="s">
        <v>18</v>
      </c>
      <c r="K25" s="5" t="s">
        <v>137</v>
      </c>
    </row>
    <row r="26" spans="1:11" ht="16" customHeight="1" x14ac:dyDescent="0.25">
      <c r="A26" s="5" t="s">
        <v>138</v>
      </c>
      <c r="B26" s="5" t="s">
        <v>12</v>
      </c>
      <c r="C26" s="23" t="s">
        <v>139</v>
      </c>
      <c r="D26" s="6">
        <v>-1</v>
      </c>
      <c r="E26" s="6">
        <v>3</v>
      </c>
      <c r="F26" s="10" t="s">
        <v>43</v>
      </c>
      <c r="G26" s="8" t="s">
        <v>15</v>
      </c>
      <c r="H26" s="5" t="s">
        <v>140</v>
      </c>
      <c r="I26" s="5" t="s">
        <v>141</v>
      </c>
      <c r="J26" s="5" t="s">
        <v>18</v>
      </c>
      <c r="K26" s="5" t="s">
        <v>142</v>
      </c>
    </row>
    <row r="27" spans="1:11" ht="16" customHeight="1" x14ac:dyDescent="0.25">
      <c r="A27" s="13" t="s">
        <v>143</v>
      </c>
      <c r="B27" s="13" t="s">
        <v>144</v>
      </c>
      <c r="C27" s="23" t="s">
        <v>145</v>
      </c>
      <c r="D27" s="14">
        <v>0</v>
      </c>
      <c r="E27" s="14">
        <v>3</v>
      </c>
      <c r="F27" s="10" t="s">
        <v>43</v>
      </c>
      <c r="G27" s="8" t="s">
        <v>15</v>
      </c>
      <c r="H27" s="13" t="s">
        <v>146</v>
      </c>
      <c r="I27" s="13" t="s">
        <v>147</v>
      </c>
      <c r="J27" s="13" t="s">
        <v>148</v>
      </c>
      <c r="K27" s="13" t="s">
        <v>149</v>
      </c>
    </row>
    <row r="28" spans="1:11" ht="16" customHeight="1" x14ac:dyDescent="0.25">
      <c r="A28" s="13" t="s">
        <v>150</v>
      </c>
      <c r="B28" s="13" t="s">
        <v>144</v>
      </c>
      <c r="C28" s="23" t="s">
        <v>151</v>
      </c>
      <c r="D28" s="14">
        <v>0</v>
      </c>
      <c r="E28" s="14">
        <v>3</v>
      </c>
      <c r="F28" s="9" t="s">
        <v>37</v>
      </c>
      <c r="G28" s="8" t="s">
        <v>15</v>
      </c>
      <c r="H28" s="13" t="s">
        <v>152</v>
      </c>
      <c r="I28" s="13" t="s">
        <v>153</v>
      </c>
      <c r="J28" s="13" t="s">
        <v>148</v>
      </c>
      <c r="K28" s="13" t="s">
        <v>154</v>
      </c>
    </row>
    <row r="29" spans="1:11" ht="16" customHeight="1" x14ac:dyDescent="0.25">
      <c r="A29" s="13" t="s">
        <v>155</v>
      </c>
      <c r="B29" s="13" t="s">
        <v>144</v>
      </c>
      <c r="C29" s="23" t="s">
        <v>156</v>
      </c>
      <c r="D29" s="14">
        <v>0</v>
      </c>
      <c r="E29" s="14">
        <v>3</v>
      </c>
      <c r="F29" s="7" t="s">
        <v>14</v>
      </c>
      <c r="G29" s="8" t="s">
        <v>15</v>
      </c>
      <c r="H29" s="13" t="s">
        <v>157</v>
      </c>
      <c r="I29" s="13" t="s">
        <v>158</v>
      </c>
      <c r="J29" s="13" t="s">
        <v>148</v>
      </c>
      <c r="K29" s="13" t="s">
        <v>159</v>
      </c>
    </row>
    <row r="30" spans="1:11" ht="16" customHeight="1" x14ac:dyDescent="0.25">
      <c r="A30" s="13" t="s">
        <v>160</v>
      </c>
      <c r="B30" s="13" t="s">
        <v>144</v>
      </c>
      <c r="C30" s="24" t="s">
        <v>161</v>
      </c>
      <c r="D30" s="14">
        <v>0</v>
      </c>
      <c r="E30" s="14">
        <v>3</v>
      </c>
      <c r="F30" s="9" t="s">
        <v>37</v>
      </c>
      <c r="G30" s="8" t="s">
        <v>15</v>
      </c>
      <c r="H30" s="13" t="s">
        <v>162</v>
      </c>
      <c r="I30" s="13" t="s">
        <v>163</v>
      </c>
      <c r="J30" s="13" t="s">
        <v>148</v>
      </c>
      <c r="K30" s="13" t="s">
        <v>164</v>
      </c>
    </row>
    <row r="31" spans="1:11" ht="16" customHeight="1" x14ac:dyDescent="0.25">
      <c r="A31" s="13" t="s">
        <v>165</v>
      </c>
      <c r="B31" s="13" t="s">
        <v>144</v>
      </c>
      <c r="C31" s="24" t="s">
        <v>166</v>
      </c>
      <c r="D31" s="14">
        <v>0</v>
      </c>
      <c r="E31" s="14">
        <v>3</v>
      </c>
      <c r="F31" s="10" t="s">
        <v>43</v>
      </c>
      <c r="G31" s="8" t="s">
        <v>15</v>
      </c>
      <c r="H31" s="13" t="s">
        <v>167</v>
      </c>
      <c r="I31" s="13" t="s">
        <v>168</v>
      </c>
      <c r="J31" s="13" t="s">
        <v>148</v>
      </c>
      <c r="K31" s="13" t="s">
        <v>169</v>
      </c>
    </row>
    <row r="32" spans="1:11" ht="16" customHeight="1" x14ac:dyDescent="0.25">
      <c r="A32" s="13" t="s">
        <v>170</v>
      </c>
      <c r="B32" s="13" t="s">
        <v>144</v>
      </c>
      <c r="C32" s="24" t="s">
        <v>171</v>
      </c>
      <c r="D32" s="14">
        <v>0</v>
      </c>
      <c r="E32" s="14">
        <v>3</v>
      </c>
      <c r="F32" s="7" t="s">
        <v>14</v>
      </c>
      <c r="G32" s="8" t="s">
        <v>15</v>
      </c>
      <c r="H32" s="13" t="s">
        <v>172</v>
      </c>
      <c r="I32" s="13" t="s">
        <v>173</v>
      </c>
      <c r="J32" s="13" t="s">
        <v>148</v>
      </c>
      <c r="K32" s="13" t="s">
        <v>174</v>
      </c>
    </row>
    <row r="33" spans="1:11" ht="16" customHeight="1" x14ac:dyDescent="0.25">
      <c r="A33" s="13" t="s">
        <v>175</v>
      </c>
      <c r="B33" s="13" t="s">
        <v>144</v>
      </c>
      <c r="C33" s="23" t="s">
        <v>176</v>
      </c>
      <c r="D33" s="14">
        <v>0</v>
      </c>
      <c r="E33" s="14">
        <v>3</v>
      </c>
      <c r="F33" s="7" t="s">
        <v>14</v>
      </c>
      <c r="G33" s="8" t="s">
        <v>15</v>
      </c>
      <c r="H33" s="13" t="s">
        <v>177</v>
      </c>
      <c r="I33" s="13" t="s">
        <v>178</v>
      </c>
      <c r="J33" s="13" t="s">
        <v>148</v>
      </c>
      <c r="K33" s="13" t="s">
        <v>179</v>
      </c>
    </row>
    <row r="34" spans="1:11" ht="16" customHeight="1" x14ac:dyDescent="0.25">
      <c r="A34" s="13" t="s">
        <v>180</v>
      </c>
      <c r="B34" s="13" t="s">
        <v>144</v>
      </c>
      <c r="C34" s="23" t="s">
        <v>181</v>
      </c>
      <c r="D34" s="14">
        <v>0</v>
      </c>
      <c r="E34" s="14">
        <v>3</v>
      </c>
      <c r="F34" s="10" t="s">
        <v>43</v>
      </c>
      <c r="G34" s="8" t="s">
        <v>15</v>
      </c>
      <c r="H34" s="13" t="s">
        <v>182</v>
      </c>
      <c r="I34" s="13" t="s">
        <v>183</v>
      </c>
      <c r="J34" s="13" t="s">
        <v>148</v>
      </c>
      <c r="K34" s="13" t="s">
        <v>184</v>
      </c>
    </row>
    <row r="35" spans="1:11" ht="16" customHeight="1" x14ac:dyDescent="0.25">
      <c r="A35" s="13" t="s">
        <v>185</v>
      </c>
      <c r="B35" s="13" t="s">
        <v>144</v>
      </c>
      <c r="C35" s="24" t="s">
        <v>186</v>
      </c>
      <c r="D35" s="14">
        <v>0</v>
      </c>
      <c r="E35" s="14">
        <v>3</v>
      </c>
      <c r="F35" s="9" t="s">
        <v>37</v>
      </c>
      <c r="G35" s="8" t="s">
        <v>15</v>
      </c>
      <c r="H35" s="13" t="s">
        <v>187</v>
      </c>
      <c r="I35" s="13" t="s">
        <v>188</v>
      </c>
      <c r="J35" s="13" t="s">
        <v>148</v>
      </c>
      <c r="K35" s="13" t="s">
        <v>189</v>
      </c>
    </row>
    <row r="36" spans="1:11" ht="16" customHeight="1" x14ac:dyDescent="0.25">
      <c r="A36" s="13" t="s">
        <v>190</v>
      </c>
      <c r="B36" s="13" t="s">
        <v>144</v>
      </c>
      <c r="C36" s="25" t="s">
        <v>191</v>
      </c>
      <c r="D36" s="14">
        <v>0</v>
      </c>
      <c r="E36" s="14">
        <v>3</v>
      </c>
      <c r="F36" s="9" t="s">
        <v>37</v>
      </c>
      <c r="G36" s="8" t="s">
        <v>15</v>
      </c>
      <c r="H36" s="13" t="s">
        <v>192</v>
      </c>
      <c r="I36" s="13" t="s">
        <v>193</v>
      </c>
      <c r="J36" s="13" t="s">
        <v>148</v>
      </c>
      <c r="K36" s="13" t="s">
        <v>194</v>
      </c>
    </row>
    <row r="37" spans="1:11" ht="16" customHeight="1" x14ac:dyDescent="0.25">
      <c r="A37" s="13" t="s">
        <v>195</v>
      </c>
      <c r="B37" s="13" t="s">
        <v>144</v>
      </c>
      <c r="C37" s="24" t="s">
        <v>196</v>
      </c>
      <c r="D37" s="14">
        <v>0</v>
      </c>
      <c r="E37" s="14">
        <v>3</v>
      </c>
      <c r="F37" s="10" t="s">
        <v>43</v>
      </c>
      <c r="G37" s="8" t="s">
        <v>15</v>
      </c>
      <c r="H37" s="13" t="s">
        <v>197</v>
      </c>
      <c r="I37" s="13" t="s">
        <v>198</v>
      </c>
      <c r="J37" s="13" t="s">
        <v>148</v>
      </c>
      <c r="K37" s="13" t="s">
        <v>199</v>
      </c>
    </row>
    <row r="38" spans="1:11" ht="16" customHeight="1" x14ac:dyDescent="0.25">
      <c r="A38" s="13" t="s">
        <v>200</v>
      </c>
      <c r="B38" s="13" t="s">
        <v>144</v>
      </c>
      <c r="C38" s="24" t="s">
        <v>176</v>
      </c>
      <c r="D38" s="14">
        <v>0</v>
      </c>
      <c r="E38" s="14">
        <v>3</v>
      </c>
      <c r="F38" s="10" t="s">
        <v>43</v>
      </c>
      <c r="G38" s="8" t="s">
        <v>15</v>
      </c>
      <c r="H38" s="13" t="s">
        <v>201</v>
      </c>
      <c r="I38" s="13" t="s">
        <v>202</v>
      </c>
      <c r="J38" s="13" t="s">
        <v>148</v>
      </c>
      <c r="K38" s="13" t="s">
        <v>203</v>
      </c>
    </row>
    <row r="39" spans="1:11" ht="16" customHeight="1" x14ac:dyDescent="0.25">
      <c r="A39" s="13" t="s">
        <v>204</v>
      </c>
      <c r="B39" s="13" t="s">
        <v>144</v>
      </c>
      <c r="C39" s="24" t="s">
        <v>205</v>
      </c>
      <c r="D39" s="14">
        <v>0</v>
      </c>
      <c r="E39" s="14">
        <v>3</v>
      </c>
      <c r="F39" s="9" t="s">
        <v>37</v>
      </c>
      <c r="G39" s="8" t="s">
        <v>15</v>
      </c>
      <c r="H39" s="13" t="s">
        <v>206</v>
      </c>
      <c r="I39" s="13" t="s">
        <v>207</v>
      </c>
      <c r="J39" s="13" t="s">
        <v>148</v>
      </c>
      <c r="K39" s="13" t="s">
        <v>208</v>
      </c>
    </row>
    <row r="40" spans="1:11" ht="16" customHeight="1" x14ac:dyDescent="0.25">
      <c r="A40" s="13" t="s">
        <v>209</v>
      </c>
      <c r="B40" s="13" t="s">
        <v>144</v>
      </c>
      <c r="C40" s="24" t="s">
        <v>210</v>
      </c>
      <c r="D40" s="14">
        <v>0</v>
      </c>
      <c r="E40" s="14">
        <v>3</v>
      </c>
      <c r="F40" s="7" t="s">
        <v>14</v>
      </c>
      <c r="G40" s="8" t="s">
        <v>15</v>
      </c>
      <c r="H40" s="13" t="s">
        <v>211</v>
      </c>
      <c r="I40" s="13" t="s">
        <v>212</v>
      </c>
      <c r="J40" s="13" t="s">
        <v>148</v>
      </c>
      <c r="K40" s="13" t="s">
        <v>213</v>
      </c>
    </row>
    <row r="41" spans="1:11" ht="16" customHeight="1" x14ac:dyDescent="0.25">
      <c r="A41" s="13" t="s">
        <v>214</v>
      </c>
      <c r="B41" s="13" t="s">
        <v>144</v>
      </c>
      <c r="C41" s="24" t="s">
        <v>215</v>
      </c>
      <c r="D41" s="14">
        <v>0</v>
      </c>
      <c r="E41" s="14">
        <v>3</v>
      </c>
      <c r="F41" s="7" t="s">
        <v>14</v>
      </c>
      <c r="G41" s="8" t="s">
        <v>15</v>
      </c>
      <c r="H41" s="13" t="s">
        <v>216</v>
      </c>
      <c r="I41" s="13" t="s">
        <v>217</v>
      </c>
      <c r="J41" s="13" t="s">
        <v>148</v>
      </c>
      <c r="K41" s="13" t="s">
        <v>218</v>
      </c>
    </row>
    <row r="42" spans="1:11" ht="16" customHeight="1" x14ac:dyDescent="0.25">
      <c r="A42" s="13" t="s">
        <v>219</v>
      </c>
      <c r="B42" s="13" t="s">
        <v>144</v>
      </c>
      <c r="C42" s="24" t="s">
        <v>220</v>
      </c>
      <c r="D42" s="14">
        <v>0</v>
      </c>
      <c r="E42" s="14">
        <v>3</v>
      </c>
      <c r="F42" s="9" t="s">
        <v>37</v>
      </c>
      <c r="G42" s="8" t="s">
        <v>15</v>
      </c>
      <c r="H42" s="13" t="s">
        <v>221</v>
      </c>
      <c r="I42" s="13" t="s">
        <v>222</v>
      </c>
      <c r="J42" s="13" t="s">
        <v>148</v>
      </c>
      <c r="K42" s="13" t="s">
        <v>223</v>
      </c>
    </row>
    <row r="43" spans="1:11" ht="16" customHeight="1" x14ac:dyDescent="0.25">
      <c r="A43" s="13" t="s">
        <v>224</v>
      </c>
      <c r="B43" s="13" t="s">
        <v>144</v>
      </c>
      <c r="C43" s="24" t="s">
        <v>225</v>
      </c>
      <c r="D43" s="14">
        <v>0</v>
      </c>
      <c r="E43" s="14">
        <v>3</v>
      </c>
      <c r="F43" s="7" t="s">
        <v>14</v>
      </c>
      <c r="G43" s="8" t="s">
        <v>15</v>
      </c>
      <c r="H43" s="13" t="s">
        <v>226</v>
      </c>
      <c r="I43" s="13" t="s">
        <v>227</v>
      </c>
      <c r="J43" s="13" t="s">
        <v>148</v>
      </c>
      <c r="K43" s="13" t="s">
        <v>228</v>
      </c>
    </row>
    <row r="44" spans="1:11" ht="16" customHeight="1" x14ac:dyDescent="0.25">
      <c r="A44" s="13" t="s">
        <v>229</v>
      </c>
      <c r="B44" s="13" t="s">
        <v>144</v>
      </c>
      <c r="C44" s="24" t="s">
        <v>191</v>
      </c>
      <c r="D44" s="14">
        <v>0</v>
      </c>
      <c r="E44" s="14">
        <v>3</v>
      </c>
      <c r="F44" s="7" t="s">
        <v>14</v>
      </c>
      <c r="G44" s="8" t="s">
        <v>15</v>
      </c>
      <c r="H44" s="13" t="s">
        <v>230</v>
      </c>
      <c r="I44" s="13" t="s">
        <v>231</v>
      </c>
      <c r="J44" s="13" t="s">
        <v>148</v>
      </c>
      <c r="K44" s="13" t="s">
        <v>232</v>
      </c>
    </row>
    <row r="45" spans="1:11" ht="16" customHeight="1" x14ac:dyDescent="0.25">
      <c r="A45" s="13" t="s">
        <v>233</v>
      </c>
      <c r="B45" s="13" t="s">
        <v>144</v>
      </c>
      <c r="C45" s="24" t="s">
        <v>234</v>
      </c>
      <c r="D45" s="14">
        <v>0</v>
      </c>
      <c r="E45" s="14">
        <v>3</v>
      </c>
      <c r="F45" s="9" t="s">
        <v>37</v>
      </c>
      <c r="G45" s="8" t="s">
        <v>15</v>
      </c>
      <c r="H45" s="13" t="s">
        <v>235</v>
      </c>
      <c r="I45" s="13" t="s">
        <v>236</v>
      </c>
      <c r="J45" s="13" t="s">
        <v>148</v>
      </c>
      <c r="K45" s="13" t="s">
        <v>237</v>
      </c>
    </row>
    <row r="46" spans="1:11" ht="16" customHeight="1" x14ac:dyDescent="0.25">
      <c r="A46" s="13" t="s">
        <v>238</v>
      </c>
      <c r="B46" s="13" t="s">
        <v>144</v>
      </c>
      <c r="C46" s="24" t="s">
        <v>239</v>
      </c>
      <c r="D46" s="14">
        <v>0</v>
      </c>
      <c r="E46" s="14">
        <v>3</v>
      </c>
      <c r="F46" s="7" t="s">
        <v>14</v>
      </c>
      <c r="G46" s="8" t="s">
        <v>15</v>
      </c>
      <c r="H46" s="13" t="s">
        <v>240</v>
      </c>
      <c r="I46" s="13" t="s">
        <v>241</v>
      </c>
      <c r="J46" s="13" t="s">
        <v>148</v>
      </c>
      <c r="K46" s="13" t="s">
        <v>242</v>
      </c>
    </row>
    <row r="47" spans="1:11" ht="16" customHeight="1" x14ac:dyDescent="0.25">
      <c r="A47" s="13" t="s">
        <v>243</v>
      </c>
      <c r="B47" s="13" t="s">
        <v>144</v>
      </c>
      <c r="C47" s="24" t="s">
        <v>244</v>
      </c>
      <c r="D47" s="14">
        <v>0</v>
      </c>
      <c r="E47" s="14">
        <v>3</v>
      </c>
      <c r="F47" s="10" t="s">
        <v>43</v>
      </c>
      <c r="G47" s="8" t="s">
        <v>15</v>
      </c>
      <c r="H47" s="13" t="s">
        <v>245</v>
      </c>
      <c r="I47" s="13" t="s">
        <v>246</v>
      </c>
      <c r="J47" s="13" t="s">
        <v>148</v>
      </c>
      <c r="K47" s="13" t="s">
        <v>247</v>
      </c>
    </row>
    <row r="48" spans="1:11" ht="16" customHeight="1" x14ac:dyDescent="0.25">
      <c r="A48" s="13" t="s">
        <v>248</v>
      </c>
      <c r="B48" s="13" t="s">
        <v>144</v>
      </c>
      <c r="C48" s="24" t="s">
        <v>196</v>
      </c>
      <c r="D48" s="14">
        <v>0</v>
      </c>
      <c r="E48" s="14">
        <v>3</v>
      </c>
      <c r="F48" s="9" t="s">
        <v>37</v>
      </c>
      <c r="G48" s="8" t="s">
        <v>15</v>
      </c>
      <c r="H48" s="13" t="s">
        <v>249</v>
      </c>
      <c r="I48" s="13" t="s">
        <v>250</v>
      </c>
      <c r="J48" s="13" t="s">
        <v>148</v>
      </c>
      <c r="K48" s="13" t="s">
        <v>251</v>
      </c>
    </row>
    <row r="49" spans="1:11" ht="16" customHeight="1" x14ac:dyDescent="0.25">
      <c r="A49" s="13" t="s">
        <v>252</v>
      </c>
      <c r="B49" s="13" t="s">
        <v>144</v>
      </c>
      <c r="C49" s="24" t="s">
        <v>253</v>
      </c>
      <c r="D49" s="14">
        <v>0</v>
      </c>
      <c r="E49" s="14">
        <v>3</v>
      </c>
      <c r="F49" s="9" t="s">
        <v>37</v>
      </c>
      <c r="G49" s="8" t="s">
        <v>15</v>
      </c>
      <c r="H49" s="13" t="s">
        <v>254</v>
      </c>
      <c r="I49" s="13" t="s">
        <v>255</v>
      </c>
      <c r="J49" s="13" t="s">
        <v>148</v>
      </c>
      <c r="K49" s="13" t="s">
        <v>256</v>
      </c>
    </row>
    <row r="50" spans="1:11" ht="16" customHeight="1" x14ac:dyDescent="0.25">
      <c r="A50" s="13" t="s">
        <v>257</v>
      </c>
      <c r="B50" s="13" t="s">
        <v>144</v>
      </c>
      <c r="C50" s="23" t="s">
        <v>258</v>
      </c>
      <c r="D50" s="14">
        <v>0</v>
      </c>
      <c r="E50" s="14">
        <v>3</v>
      </c>
      <c r="F50" s="9" t="s">
        <v>37</v>
      </c>
      <c r="G50" s="8" t="s">
        <v>15</v>
      </c>
      <c r="H50" s="13" t="s">
        <v>259</v>
      </c>
      <c r="I50" s="13" t="s">
        <v>260</v>
      </c>
      <c r="J50" s="13" t="s">
        <v>148</v>
      </c>
      <c r="K50" s="13" t="s">
        <v>261</v>
      </c>
    </row>
    <row r="51" spans="1:11" ht="16" customHeight="1" x14ac:dyDescent="0.25">
      <c r="A51" s="13" t="s">
        <v>262</v>
      </c>
      <c r="B51" s="13" t="s">
        <v>144</v>
      </c>
      <c r="C51" s="24" t="s">
        <v>220</v>
      </c>
      <c r="D51" s="14">
        <v>0</v>
      </c>
      <c r="E51" s="14">
        <v>3</v>
      </c>
      <c r="F51" s="9" t="s">
        <v>37</v>
      </c>
      <c r="G51" s="8" t="s">
        <v>15</v>
      </c>
      <c r="H51" s="13" t="s">
        <v>263</v>
      </c>
      <c r="I51" s="13" t="s">
        <v>264</v>
      </c>
      <c r="J51" s="13" t="s">
        <v>148</v>
      </c>
      <c r="K51" s="13" t="s">
        <v>265</v>
      </c>
    </row>
    <row r="52" spans="1:11" ht="16" customHeight="1" x14ac:dyDescent="0.25">
      <c r="A52" s="15" t="s">
        <v>266</v>
      </c>
      <c r="B52" s="15" t="s">
        <v>267</v>
      </c>
      <c r="C52" s="24" t="s">
        <v>268</v>
      </c>
      <c r="D52" s="16">
        <v>-1</v>
      </c>
      <c r="E52" s="16">
        <v>5</v>
      </c>
      <c r="F52" s="9" t="s">
        <v>37</v>
      </c>
      <c r="G52" s="8" t="s">
        <v>15</v>
      </c>
      <c r="H52" s="15" t="s">
        <v>269</v>
      </c>
      <c r="I52" s="15" t="s">
        <v>270</v>
      </c>
      <c r="J52" s="15" t="s">
        <v>271</v>
      </c>
      <c r="K52" s="15" t="s">
        <v>272</v>
      </c>
    </row>
    <row r="53" spans="1:11" ht="16" customHeight="1" x14ac:dyDescent="0.25">
      <c r="A53" s="15" t="s">
        <v>273</v>
      </c>
      <c r="B53" s="15" t="s">
        <v>267</v>
      </c>
      <c r="C53" s="26" t="s">
        <v>274</v>
      </c>
      <c r="D53" s="16">
        <v>-1</v>
      </c>
      <c r="E53" s="16">
        <v>5</v>
      </c>
      <c r="F53" s="9" t="s">
        <v>37</v>
      </c>
      <c r="G53" s="8" t="s">
        <v>15</v>
      </c>
      <c r="H53" s="15" t="s">
        <v>275</v>
      </c>
      <c r="I53" s="15" t="s">
        <v>276</v>
      </c>
      <c r="J53" s="15" t="s">
        <v>271</v>
      </c>
      <c r="K53" s="15" t="s">
        <v>277</v>
      </c>
    </row>
    <row r="54" spans="1:11" ht="16" customHeight="1" x14ac:dyDescent="0.25">
      <c r="A54" s="15" t="s">
        <v>278</v>
      </c>
      <c r="B54" s="15" t="s">
        <v>267</v>
      </c>
      <c r="C54" s="24" t="s">
        <v>279</v>
      </c>
      <c r="D54" s="16">
        <v>-1</v>
      </c>
      <c r="E54" s="16">
        <v>5</v>
      </c>
      <c r="F54" s="9" t="s">
        <v>37</v>
      </c>
      <c r="G54" s="8" t="s">
        <v>15</v>
      </c>
      <c r="H54" s="15" t="s">
        <v>280</v>
      </c>
      <c r="I54" s="15" t="s">
        <v>281</v>
      </c>
      <c r="J54" s="15" t="s">
        <v>271</v>
      </c>
      <c r="K54" s="15" t="s">
        <v>282</v>
      </c>
    </row>
    <row r="55" spans="1:11" ht="16" customHeight="1" x14ac:dyDescent="0.25">
      <c r="A55" s="15" t="s">
        <v>283</v>
      </c>
      <c r="B55" s="15" t="s">
        <v>267</v>
      </c>
      <c r="C55" s="27" t="s">
        <v>284</v>
      </c>
      <c r="D55" s="16">
        <v>-1</v>
      </c>
      <c r="E55" s="16">
        <v>5</v>
      </c>
      <c r="F55" s="9" t="s">
        <v>37</v>
      </c>
      <c r="G55" s="8" t="s">
        <v>15</v>
      </c>
      <c r="H55" s="15" t="s">
        <v>285</v>
      </c>
      <c r="I55" s="15" t="s">
        <v>286</v>
      </c>
      <c r="J55" s="15" t="s">
        <v>271</v>
      </c>
      <c r="K55" s="15" t="s">
        <v>287</v>
      </c>
    </row>
    <row r="56" spans="1:11" ht="16" customHeight="1" x14ac:dyDescent="0.25">
      <c r="A56" s="15" t="s">
        <v>288</v>
      </c>
      <c r="B56" s="15" t="s">
        <v>267</v>
      </c>
      <c r="C56" s="24" t="s">
        <v>274</v>
      </c>
      <c r="D56" s="16">
        <v>-1</v>
      </c>
      <c r="E56" s="16">
        <v>5</v>
      </c>
      <c r="F56" s="9" t="s">
        <v>37</v>
      </c>
      <c r="G56" s="8" t="s">
        <v>15</v>
      </c>
      <c r="H56" s="15" t="s">
        <v>289</v>
      </c>
      <c r="I56" s="15" t="s">
        <v>290</v>
      </c>
      <c r="J56" s="15" t="s">
        <v>271</v>
      </c>
      <c r="K56" s="15" t="s">
        <v>291</v>
      </c>
    </row>
    <row r="57" spans="1:11" ht="16" customHeight="1" x14ac:dyDescent="0.25">
      <c r="A57" s="15" t="s">
        <v>292</v>
      </c>
      <c r="B57" s="15" t="s">
        <v>267</v>
      </c>
      <c r="C57" s="24" t="s">
        <v>293</v>
      </c>
      <c r="D57" s="16">
        <v>-1</v>
      </c>
      <c r="E57" s="16">
        <v>5</v>
      </c>
      <c r="F57" s="9" t="s">
        <v>37</v>
      </c>
      <c r="G57" s="8" t="s">
        <v>15</v>
      </c>
      <c r="H57" s="15" t="s">
        <v>294</v>
      </c>
      <c r="I57" s="15" t="s">
        <v>295</v>
      </c>
      <c r="J57" s="15" t="s">
        <v>271</v>
      </c>
      <c r="K57" s="15" t="s">
        <v>296</v>
      </c>
    </row>
    <row r="58" spans="1:11" ht="16" customHeight="1" x14ac:dyDescent="0.25">
      <c r="A58" s="15" t="s">
        <v>297</v>
      </c>
      <c r="B58" s="15" t="s">
        <v>267</v>
      </c>
      <c r="C58" s="24" t="s">
        <v>298</v>
      </c>
      <c r="D58" s="16">
        <v>-1</v>
      </c>
      <c r="E58" s="16">
        <v>5</v>
      </c>
      <c r="F58" s="9" t="s">
        <v>37</v>
      </c>
      <c r="G58" s="8" t="s">
        <v>15</v>
      </c>
      <c r="H58" s="15" t="s">
        <v>299</v>
      </c>
      <c r="I58" s="15" t="s">
        <v>300</v>
      </c>
      <c r="J58" s="15" t="s">
        <v>271</v>
      </c>
      <c r="K58" s="15" t="s">
        <v>301</v>
      </c>
    </row>
    <row r="59" spans="1:11" ht="16" customHeight="1" x14ac:dyDescent="0.25">
      <c r="A59" s="15" t="s">
        <v>302</v>
      </c>
      <c r="B59" s="15" t="s">
        <v>267</v>
      </c>
      <c r="C59" s="24" t="s">
        <v>181</v>
      </c>
      <c r="D59" s="16">
        <v>-1</v>
      </c>
      <c r="E59" s="16">
        <v>5</v>
      </c>
      <c r="F59" s="9" t="s">
        <v>37</v>
      </c>
      <c r="G59" s="8" t="s">
        <v>15</v>
      </c>
      <c r="H59" s="15" t="s">
        <v>303</v>
      </c>
      <c r="I59" s="15" t="s">
        <v>304</v>
      </c>
      <c r="J59" s="15" t="s">
        <v>271</v>
      </c>
      <c r="K59" s="15" t="s">
        <v>305</v>
      </c>
    </row>
    <row r="60" spans="1:11" ht="16" customHeight="1" x14ac:dyDescent="0.25">
      <c r="A60" s="15" t="s">
        <v>306</v>
      </c>
      <c r="B60" s="15" t="s">
        <v>267</v>
      </c>
      <c r="C60" s="24" t="s">
        <v>307</v>
      </c>
      <c r="D60" s="16">
        <v>-1</v>
      </c>
      <c r="E60" s="16">
        <v>5</v>
      </c>
      <c r="F60" s="9" t="s">
        <v>37</v>
      </c>
      <c r="G60" s="8" t="s">
        <v>15</v>
      </c>
      <c r="H60" s="15" t="s">
        <v>308</v>
      </c>
      <c r="I60" s="15" t="s">
        <v>309</v>
      </c>
      <c r="J60" s="15" t="s">
        <v>271</v>
      </c>
      <c r="K60" s="15" t="s">
        <v>310</v>
      </c>
    </row>
    <row r="61" spans="1:11" ht="16" customHeight="1" x14ac:dyDescent="0.25">
      <c r="A61" s="15" t="s">
        <v>311</v>
      </c>
      <c r="B61" s="15" t="s">
        <v>267</v>
      </c>
      <c r="C61" s="24" t="s">
        <v>312</v>
      </c>
      <c r="D61" s="16">
        <v>-1</v>
      </c>
      <c r="E61" s="16">
        <v>5</v>
      </c>
      <c r="F61" s="9" t="s">
        <v>37</v>
      </c>
      <c r="G61" s="8" t="s">
        <v>15</v>
      </c>
      <c r="H61" s="15" t="s">
        <v>313</v>
      </c>
      <c r="I61" s="15" t="s">
        <v>314</v>
      </c>
      <c r="J61" s="15" t="s">
        <v>271</v>
      </c>
      <c r="K61" s="15" t="s">
        <v>315</v>
      </c>
    </row>
    <row r="62" spans="1:11" ht="16" customHeight="1" x14ac:dyDescent="0.25">
      <c r="A62" s="15" t="s">
        <v>316</v>
      </c>
      <c r="B62" s="15" t="s">
        <v>267</v>
      </c>
      <c r="C62" s="24" t="s">
        <v>317</v>
      </c>
      <c r="D62" s="16">
        <v>-1</v>
      </c>
      <c r="E62" s="16">
        <v>5</v>
      </c>
      <c r="F62" s="9" t="s">
        <v>37</v>
      </c>
      <c r="G62" s="8" t="s">
        <v>15</v>
      </c>
      <c r="H62" s="15" t="s">
        <v>318</v>
      </c>
      <c r="I62" s="15" t="s">
        <v>319</v>
      </c>
      <c r="J62" s="15" t="s">
        <v>271</v>
      </c>
      <c r="K62" s="15" t="s">
        <v>310</v>
      </c>
    </row>
    <row r="63" spans="1:11" ht="16" customHeight="1" x14ac:dyDescent="0.25">
      <c r="A63" s="15" t="s">
        <v>320</v>
      </c>
      <c r="B63" s="15" t="s">
        <v>267</v>
      </c>
      <c r="C63" s="24" t="s">
        <v>293</v>
      </c>
      <c r="D63" s="16">
        <v>-1</v>
      </c>
      <c r="E63" s="16">
        <v>5</v>
      </c>
      <c r="F63" s="9" t="s">
        <v>37</v>
      </c>
      <c r="G63" s="8" t="s">
        <v>15</v>
      </c>
      <c r="H63" s="15" t="s">
        <v>321</v>
      </c>
      <c r="I63" s="15" t="s">
        <v>322</v>
      </c>
      <c r="J63" s="15" t="s">
        <v>271</v>
      </c>
      <c r="K63" s="15" t="s">
        <v>310</v>
      </c>
    </row>
    <row r="64" spans="1:11" ht="16" customHeight="1" x14ac:dyDescent="0.25">
      <c r="A64" s="15" t="s">
        <v>323</v>
      </c>
      <c r="B64" s="15" t="s">
        <v>267</v>
      </c>
      <c r="C64" s="24" t="s">
        <v>274</v>
      </c>
      <c r="D64" s="16">
        <v>-1</v>
      </c>
      <c r="E64" s="16">
        <v>5</v>
      </c>
      <c r="F64" s="9" t="s">
        <v>37</v>
      </c>
      <c r="G64" s="8" t="s">
        <v>15</v>
      </c>
      <c r="H64" s="15" t="s">
        <v>324</v>
      </c>
      <c r="I64" s="15" t="s">
        <v>325</v>
      </c>
      <c r="J64" s="15" t="s">
        <v>271</v>
      </c>
      <c r="K64" s="15" t="s">
        <v>326</v>
      </c>
    </row>
    <row r="65" spans="1:11" ht="16" customHeight="1" x14ac:dyDescent="0.25">
      <c r="A65" s="15" t="s">
        <v>327</v>
      </c>
      <c r="B65" s="15" t="s">
        <v>267</v>
      </c>
      <c r="C65" s="24" t="s">
        <v>328</v>
      </c>
      <c r="D65" s="16">
        <v>-1</v>
      </c>
      <c r="E65" s="16">
        <v>5</v>
      </c>
      <c r="F65" s="9" t="s">
        <v>37</v>
      </c>
      <c r="G65" s="8" t="s">
        <v>15</v>
      </c>
      <c r="H65" s="15" t="s">
        <v>329</v>
      </c>
      <c r="I65" s="15" t="s">
        <v>330</v>
      </c>
      <c r="J65" s="15" t="s">
        <v>271</v>
      </c>
      <c r="K65" s="15" t="s">
        <v>331</v>
      </c>
    </row>
    <row r="66" spans="1:11" ht="16" customHeight="1" x14ac:dyDescent="0.25">
      <c r="A66" s="15" t="s">
        <v>332</v>
      </c>
      <c r="B66" s="15" t="s">
        <v>267</v>
      </c>
      <c r="C66" s="24" t="s">
        <v>333</v>
      </c>
      <c r="D66" s="16">
        <v>-1</v>
      </c>
      <c r="E66" s="16">
        <v>5</v>
      </c>
      <c r="F66" s="9" t="s">
        <v>37</v>
      </c>
      <c r="G66" s="8" t="s">
        <v>15</v>
      </c>
      <c r="H66" s="15" t="s">
        <v>334</v>
      </c>
      <c r="I66" s="15" t="s">
        <v>335</v>
      </c>
      <c r="J66" s="15" t="s">
        <v>271</v>
      </c>
      <c r="K66" s="15" t="s">
        <v>336</v>
      </c>
    </row>
    <row r="67" spans="1:11" ht="16" customHeight="1" x14ac:dyDescent="0.25">
      <c r="A67" s="15" t="s">
        <v>337</v>
      </c>
      <c r="B67" s="15" t="s">
        <v>267</v>
      </c>
      <c r="C67" s="24" t="s">
        <v>338</v>
      </c>
      <c r="D67" s="16">
        <v>-1</v>
      </c>
      <c r="E67" s="16">
        <v>5</v>
      </c>
      <c r="F67" s="9" t="s">
        <v>37</v>
      </c>
      <c r="G67" s="8" t="s">
        <v>15</v>
      </c>
      <c r="H67" s="15" t="s">
        <v>339</v>
      </c>
      <c r="I67" s="15" t="s">
        <v>340</v>
      </c>
      <c r="J67" s="15" t="s">
        <v>271</v>
      </c>
      <c r="K67" s="15" t="s">
        <v>341</v>
      </c>
    </row>
    <row r="68" spans="1:11" ht="16" customHeight="1" x14ac:dyDescent="0.25">
      <c r="A68" s="15" t="s">
        <v>342</v>
      </c>
      <c r="B68" s="15" t="s">
        <v>267</v>
      </c>
      <c r="C68" s="24" t="s">
        <v>343</v>
      </c>
      <c r="D68" s="16">
        <v>-1</v>
      </c>
      <c r="E68" s="16">
        <v>5</v>
      </c>
      <c r="F68" s="9" t="s">
        <v>37</v>
      </c>
      <c r="G68" s="8" t="s">
        <v>15</v>
      </c>
      <c r="H68" s="15" t="s">
        <v>344</v>
      </c>
      <c r="I68" s="15" t="s">
        <v>345</v>
      </c>
      <c r="J68" s="15" t="s">
        <v>271</v>
      </c>
      <c r="K68" s="15" t="s">
        <v>346</v>
      </c>
    </row>
    <row r="69" spans="1:11" ht="16" customHeight="1" x14ac:dyDescent="0.25">
      <c r="A69" s="15" t="s">
        <v>347</v>
      </c>
      <c r="B69" s="15" t="s">
        <v>267</v>
      </c>
      <c r="C69" s="24" t="s">
        <v>348</v>
      </c>
      <c r="D69" s="16">
        <v>-1</v>
      </c>
      <c r="E69" s="16">
        <v>5</v>
      </c>
      <c r="F69" s="9" t="s">
        <v>37</v>
      </c>
      <c r="G69" s="8" t="s">
        <v>15</v>
      </c>
      <c r="H69" s="15" t="s">
        <v>349</v>
      </c>
      <c r="I69" s="15" t="s">
        <v>350</v>
      </c>
      <c r="J69" s="15" t="s">
        <v>271</v>
      </c>
      <c r="K69" s="15" t="s">
        <v>310</v>
      </c>
    </row>
    <row r="70" spans="1:11" ht="16" customHeight="1" x14ac:dyDescent="0.25">
      <c r="A70" s="15" t="s">
        <v>351</v>
      </c>
      <c r="B70" s="15" t="s">
        <v>267</v>
      </c>
      <c r="C70" s="24" t="s">
        <v>352</v>
      </c>
      <c r="D70" s="16">
        <v>-1</v>
      </c>
      <c r="E70" s="16">
        <v>5</v>
      </c>
      <c r="F70" s="9" t="s">
        <v>37</v>
      </c>
      <c r="G70" s="8" t="s">
        <v>15</v>
      </c>
      <c r="H70" s="15" t="s">
        <v>353</v>
      </c>
      <c r="I70" s="15" t="s">
        <v>354</v>
      </c>
      <c r="J70" s="15" t="s">
        <v>271</v>
      </c>
      <c r="K70" s="15" t="s">
        <v>355</v>
      </c>
    </row>
    <row r="71" spans="1:11" ht="16" customHeight="1" x14ac:dyDescent="0.25">
      <c r="A71" s="15" t="s">
        <v>356</v>
      </c>
      <c r="B71" s="15" t="s">
        <v>267</v>
      </c>
      <c r="C71" s="24" t="s">
        <v>307</v>
      </c>
      <c r="D71" s="16">
        <v>-1</v>
      </c>
      <c r="E71" s="16">
        <v>5</v>
      </c>
      <c r="F71" s="9" t="s">
        <v>37</v>
      </c>
      <c r="G71" s="8" t="s">
        <v>15</v>
      </c>
      <c r="H71" s="15" t="s">
        <v>357</v>
      </c>
      <c r="I71" s="15" t="s">
        <v>358</v>
      </c>
      <c r="J71" s="15" t="s">
        <v>271</v>
      </c>
      <c r="K71" s="15" t="s">
        <v>310</v>
      </c>
    </row>
    <row r="72" spans="1:11" ht="16" customHeight="1" x14ac:dyDescent="0.25">
      <c r="A72" s="15" t="s">
        <v>359</v>
      </c>
      <c r="B72" s="15" t="s">
        <v>267</v>
      </c>
      <c r="C72" s="24" t="s">
        <v>360</v>
      </c>
      <c r="D72" s="16">
        <v>-1</v>
      </c>
      <c r="E72" s="16">
        <v>5</v>
      </c>
      <c r="F72" s="9" t="s">
        <v>37</v>
      </c>
      <c r="G72" s="8" t="s">
        <v>15</v>
      </c>
      <c r="H72" s="15" t="s">
        <v>361</v>
      </c>
      <c r="I72" s="15" t="s">
        <v>362</v>
      </c>
      <c r="J72" s="15" t="s">
        <v>271</v>
      </c>
      <c r="K72" s="15" t="s">
        <v>363</v>
      </c>
    </row>
    <row r="73" spans="1:11" ht="16" customHeight="1" x14ac:dyDescent="0.25">
      <c r="A73" s="15" t="s">
        <v>364</v>
      </c>
      <c r="B73" s="15" t="s">
        <v>267</v>
      </c>
      <c r="C73" s="24" t="s">
        <v>365</v>
      </c>
      <c r="D73" s="16">
        <v>-1</v>
      </c>
      <c r="E73" s="16">
        <v>5</v>
      </c>
      <c r="F73" s="9" t="s">
        <v>37</v>
      </c>
      <c r="G73" s="8" t="s">
        <v>15</v>
      </c>
      <c r="H73" s="15" t="s">
        <v>366</v>
      </c>
      <c r="I73" s="15" t="s">
        <v>367</v>
      </c>
      <c r="J73" s="15" t="s">
        <v>271</v>
      </c>
      <c r="K73" s="15" t="s">
        <v>368</v>
      </c>
    </row>
    <row r="74" spans="1:11" ht="16" customHeight="1" x14ac:dyDescent="0.25">
      <c r="A74" s="15" t="s">
        <v>369</v>
      </c>
      <c r="B74" s="15" t="s">
        <v>267</v>
      </c>
      <c r="C74" s="24" t="s">
        <v>370</v>
      </c>
      <c r="D74" s="16">
        <v>-1</v>
      </c>
      <c r="E74" s="16">
        <v>5</v>
      </c>
      <c r="F74" s="9" t="s">
        <v>37</v>
      </c>
      <c r="G74" s="8" t="s">
        <v>15</v>
      </c>
      <c r="H74" s="15" t="s">
        <v>371</v>
      </c>
      <c r="I74" s="15" t="s">
        <v>372</v>
      </c>
      <c r="J74" s="15" t="s">
        <v>271</v>
      </c>
      <c r="K74" s="15" t="s">
        <v>310</v>
      </c>
    </row>
    <row r="75" spans="1:11" ht="16" customHeight="1" x14ac:dyDescent="0.25">
      <c r="A75" s="15" t="s">
        <v>373</v>
      </c>
      <c r="B75" s="15" t="s">
        <v>267</v>
      </c>
      <c r="C75" s="24" t="s">
        <v>374</v>
      </c>
      <c r="D75" s="16">
        <v>-1</v>
      </c>
      <c r="E75" s="16">
        <v>5</v>
      </c>
      <c r="F75" s="9" t="s">
        <v>37</v>
      </c>
      <c r="G75" s="8" t="s">
        <v>15</v>
      </c>
      <c r="H75" s="15" t="s">
        <v>375</v>
      </c>
      <c r="I75" s="15" t="s">
        <v>376</v>
      </c>
      <c r="J75" s="15" t="s">
        <v>271</v>
      </c>
      <c r="K75" s="15" t="s">
        <v>363</v>
      </c>
    </row>
    <row r="76" spans="1:11" ht="42" x14ac:dyDescent="0.25">
      <c r="A76" s="17" t="s">
        <v>377</v>
      </c>
      <c r="B76" s="18" t="s">
        <v>378</v>
      </c>
      <c r="C76" s="22" t="s">
        <v>379</v>
      </c>
      <c r="D76" s="18">
        <v>-1</v>
      </c>
      <c r="E76" s="18">
        <v>3</v>
      </c>
      <c r="F76" s="19" t="s">
        <v>14</v>
      </c>
      <c r="G76" s="20" t="s">
        <v>15</v>
      </c>
      <c r="H76" s="17" t="s">
        <v>380</v>
      </c>
      <c r="I76" s="17" t="s">
        <v>381</v>
      </c>
      <c r="J76" s="17" t="s">
        <v>382</v>
      </c>
      <c r="K76" s="17" t="s">
        <v>383</v>
      </c>
    </row>
    <row r="77" spans="1:11" ht="28" x14ac:dyDescent="0.25">
      <c r="A77" s="17" t="s">
        <v>384</v>
      </c>
      <c r="B77" s="18" t="s">
        <v>378</v>
      </c>
      <c r="C77" s="22" t="s">
        <v>385</v>
      </c>
      <c r="D77" s="18">
        <v>-1</v>
      </c>
      <c r="E77" s="18">
        <v>3</v>
      </c>
      <c r="F77" s="21" t="s">
        <v>43</v>
      </c>
      <c r="G77" s="20" t="s">
        <v>15</v>
      </c>
      <c r="H77" s="17" t="s">
        <v>386</v>
      </c>
      <c r="I77" s="17" t="s">
        <v>387</v>
      </c>
      <c r="J77" s="17" t="s">
        <v>382</v>
      </c>
      <c r="K77" s="17" t="s">
        <v>388</v>
      </c>
    </row>
    <row r="78" spans="1:11" ht="28" x14ac:dyDescent="0.25">
      <c r="A78" s="17" t="s">
        <v>389</v>
      </c>
      <c r="B78" s="18" t="s">
        <v>378</v>
      </c>
      <c r="C78" s="22" t="s">
        <v>390</v>
      </c>
      <c r="D78" s="18">
        <v>-1</v>
      </c>
      <c r="E78" s="18">
        <v>3</v>
      </c>
      <c r="F78" s="21" t="s">
        <v>43</v>
      </c>
      <c r="G78" s="20" t="s">
        <v>15</v>
      </c>
      <c r="H78" s="17" t="s">
        <v>391</v>
      </c>
      <c r="I78" s="17" t="s">
        <v>392</v>
      </c>
      <c r="J78" s="17" t="s">
        <v>382</v>
      </c>
      <c r="K78" s="17" t="s">
        <v>393</v>
      </c>
    </row>
    <row r="79" spans="1:11" ht="28" x14ac:dyDescent="0.25">
      <c r="A79" s="17" t="s">
        <v>394</v>
      </c>
      <c r="B79" s="18" t="s">
        <v>378</v>
      </c>
      <c r="C79" s="22" t="s">
        <v>395</v>
      </c>
      <c r="D79" s="18">
        <v>-1</v>
      </c>
      <c r="E79" s="18">
        <v>3</v>
      </c>
      <c r="F79" s="21" t="s">
        <v>43</v>
      </c>
      <c r="G79" s="20" t="s">
        <v>15</v>
      </c>
      <c r="H79" s="17" t="s">
        <v>396</v>
      </c>
      <c r="I79" s="17" t="s">
        <v>397</v>
      </c>
      <c r="J79" s="17" t="s">
        <v>398</v>
      </c>
      <c r="K79" s="17" t="s">
        <v>399</v>
      </c>
    </row>
    <row r="80" spans="1:11" ht="28" x14ac:dyDescent="0.25">
      <c r="A80" s="17" t="s">
        <v>400</v>
      </c>
      <c r="B80" s="18" t="s">
        <v>378</v>
      </c>
      <c r="C80" s="22" t="s">
        <v>401</v>
      </c>
      <c r="D80" s="18">
        <v>-1</v>
      </c>
      <c r="E80" s="18">
        <v>3</v>
      </c>
      <c r="F80" s="19" t="s">
        <v>14</v>
      </c>
      <c r="G80" s="20" t="s">
        <v>15</v>
      </c>
      <c r="H80" s="17" t="s">
        <v>402</v>
      </c>
      <c r="I80" s="17" t="s">
        <v>403</v>
      </c>
      <c r="J80" s="17" t="s">
        <v>382</v>
      </c>
      <c r="K80" s="17" t="s">
        <v>404</v>
      </c>
    </row>
    <row r="81" spans="1:11" ht="28" x14ac:dyDescent="0.25">
      <c r="A81" s="17" t="s">
        <v>405</v>
      </c>
      <c r="B81" s="18" t="s">
        <v>378</v>
      </c>
      <c r="C81" s="22" t="s">
        <v>406</v>
      </c>
      <c r="D81" s="18">
        <v>-1</v>
      </c>
      <c r="E81" s="18">
        <v>3</v>
      </c>
      <c r="F81" s="21" t="s">
        <v>43</v>
      </c>
      <c r="G81" s="20" t="s">
        <v>15</v>
      </c>
      <c r="H81" s="17" t="s">
        <v>407</v>
      </c>
      <c r="I81" s="17" t="s">
        <v>408</v>
      </c>
      <c r="J81" s="17" t="s">
        <v>398</v>
      </c>
      <c r="K81" s="17" t="s">
        <v>409</v>
      </c>
    </row>
    <row r="82" spans="1:11" ht="28" x14ac:dyDescent="0.25">
      <c r="A82" s="17" t="s">
        <v>410</v>
      </c>
      <c r="B82" s="18" t="s">
        <v>378</v>
      </c>
      <c r="C82" s="22" t="s">
        <v>411</v>
      </c>
      <c r="D82" s="18">
        <v>-1</v>
      </c>
      <c r="E82" s="18">
        <v>3</v>
      </c>
      <c r="F82" s="19" t="s">
        <v>14</v>
      </c>
      <c r="G82" s="20" t="s">
        <v>15</v>
      </c>
      <c r="H82" s="17" t="s">
        <v>412</v>
      </c>
      <c r="I82" s="17" t="s">
        <v>413</v>
      </c>
      <c r="J82" s="17" t="s">
        <v>382</v>
      </c>
      <c r="K82" s="17" t="s">
        <v>414</v>
      </c>
    </row>
    <row r="83" spans="1:11" ht="28" x14ac:dyDescent="0.25">
      <c r="A83" s="17" t="s">
        <v>415</v>
      </c>
      <c r="B83" s="18" t="s">
        <v>378</v>
      </c>
      <c r="C83" s="22" t="s">
        <v>416</v>
      </c>
      <c r="D83" s="18">
        <v>-1</v>
      </c>
      <c r="E83" s="18">
        <v>3</v>
      </c>
      <c r="F83" s="19" t="s">
        <v>14</v>
      </c>
      <c r="G83" s="20" t="s">
        <v>15</v>
      </c>
      <c r="H83" s="17" t="s">
        <v>417</v>
      </c>
      <c r="I83" s="17" t="s">
        <v>418</v>
      </c>
      <c r="J83" s="17" t="s">
        <v>382</v>
      </c>
      <c r="K83" s="17" t="s">
        <v>419</v>
      </c>
    </row>
    <row r="84" spans="1:11" ht="28" x14ac:dyDescent="0.25">
      <c r="A84" s="17" t="s">
        <v>420</v>
      </c>
      <c r="B84" s="18" t="s">
        <v>378</v>
      </c>
      <c r="C84" s="22" t="s">
        <v>421</v>
      </c>
      <c r="D84" s="18">
        <v>-1</v>
      </c>
      <c r="E84" s="18">
        <v>3</v>
      </c>
      <c r="F84" s="21" t="s">
        <v>43</v>
      </c>
      <c r="G84" s="20" t="s">
        <v>15</v>
      </c>
      <c r="H84" s="17" t="s">
        <v>422</v>
      </c>
      <c r="I84" s="17" t="s">
        <v>423</v>
      </c>
      <c r="J84" s="17" t="s">
        <v>398</v>
      </c>
      <c r="K84" s="17" t="s">
        <v>424</v>
      </c>
    </row>
    <row r="85" spans="1:11" ht="28" x14ac:dyDescent="0.25">
      <c r="A85" s="17" t="s">
        <v>425</v>
      </c>
      <c r="B85" s="18" t="s">
        <v>378</v>
      </c>
      <c r="C85" s="22" t="s">
        <v>426</v>
      </c>
      <c r="D85" s="18">
        <v>-1</v>
      </c>
      <c r="E85" s="18">
        <v>3</v>
      </c>
      <c r="F85" s="21" t="s">
        <v>43</v>
      </c>
      <c r="G85" s="20" t="s">
        <v>15</v>
      </c>
      <c r="H85" s="17" t="s">
        <v>427</v>
      </c>
      <c r="I85" s="17" t="s">
        <v>428</v>
      </c>
      <c r="J85" s="17" t="s">
        <v>382</v>
      </c>
      <c r="K85" s="17" t="s">
        <v>429</v>
      </c>
    </row>
    <row r="86" spans="1:11" ht="28" x14ac:dyDescent="0.25">
      <c r="A86" s="17" t="s">
        <v>430</v>
      </c>
      <c r="B86" s="18" t="s">
        <v>378</v>
      </c>
      <c r="C86" s="22" t="s">
        <v>431</v>
      </c>
      <c r="D86" s="18">
        <v>-1</v>
      </c>
      <c r="E86" s="18">
        <v>3</v>
      </c>
      <c r="F86" s="21" t="s">
        <v>43</v>
      </c>
      <c r="G86" s="20" t="s">
        <v>15</v>
      </c>
      <c r="H86" s="17" t="s">
        <v>432</v>
      </c>
      <c r="I86" s="17" t="s">
        <v>433</v>
      </c>
      <c r="J86" s="17" t="s">
        <v>398</v>
      </c>
      <c r="K86" s="17" t="s">
        <v>434</v>
      </c>
    </row>
    <row r="87" spans="1:11" ht="28" x14ac:dyDescent="0.25">
      <c r="A87" s="17" t="s">
        <v>435</v>
      </c>
      <c r="B87" s="18" t="s">
        <v>378</v>
      </c>
      <c r="C87" s="22" t="s">
        <v>436</v>
      </c>
      <c r="D87" s="18">
        <v>-1</v>
      </c>
      <c r="E87" s="18">
        <v>3</v>
      </c>
      <c r="F87" s="21" t="s">
        <v>43</v>
      </c>
      <c r="G87" s="20" t="s">
        <v>15</v>
      </c>
      <c r="H87" s="17" t="s">
        <v>437</v>
      </c>
      <c r="I87" s="17" t="s">
        <v>438</v>
      </c>
      <c r="J87" s="17" t="s">
        <v>382</v>
      </c>
      <c r="K87" s="17" t="s">
        <v>439</v>
      </c>
    </row>
    <row r="88" spans="1:11" ht="28" x14ac:dyDescent="0.25">
      <c r="A88" s="17" t="s">
        <v>440</v>
      </c>
      <c r="B88" s="18" t="s">
        <v>378</v>
      </c>
      <c r="C88" s="22" t="s">
        <v>88</v>
      </c>
      <c r="D88" s="18">
        <v>-1</v>
      </c>
      <c r="E88" s="18">
        <v>3</v>
      </c>
      <c r="F88" s="19" t="s">
        <v>14</v>
      </c>
      <c r="G88" s="20" t="s">
        <v>15</v>
      </c>
      <c r="H88" s="17" t="s">
        <v>441</v>
      </c>
      <c r="I88" s="17" t="s">
        <v>442</v>
      </c>
      <c r="J88" s="17" t="s">
        <v>382</v>
      </c>
      <c r="K88" s="17" t="s">
        <v>443</v>
      </c>
    </row>
    <row r="89" spans="1:11" ht="28" x14ac:dyDescent="0.25">
      <c r="A89" s="17" t="s">
        <v>444</v>
      </c>
      <c r="B89" s="18" t="s">
        <v>378</v>
      </c>
      <c r="C89" s="22" t="s">
        <v>445</v>
      </c>
      <c r="D89" s="18">
        <v>-1</v>
      </c>
      <c r="E89" s="18">
        <v>3</v>
      </c>
      <c r="F89" s="21" t="s">
        <v>43</v>
      </c>
      <c r="G89" s="20" t="s">
        <v>15</v>
      </c>
      <c r="H89" s="17" t="s">
        <v>446</v>
      </c>
      <c r="I89" s="17" t="s">
        <v>447</v>
      </c>
      <c r="J89" s="17" t="s">
        <v>398</v>
      </c>
      <c r="K89" s="17" t="s">
        <v>448</v>
      </c>
    </row>
    <row r="90" spans="1:11" ht="28" x14ac:dyDescent="0.25">
      <c r="A90" s="17" t="s">
        <v>449</v>
      </c>
      <c r="B90" s="18" t="s">
        <v>378</v>
      </c>
      <c r="C90" s="22" t="s">
        <v>450</v>
      </c>
      <c r="D90" s="18">
        <v>-1</v>
      </c>
      <c r="E90" s="18">
        <v>3</v>
      </c>
      <c r="F90" s="19" t="s">
        <v>14</v>
      </c>
      <c r="G90" s="20" t="s">
        <v>15</v>
      </c>
      <c r="H90" s="17" t="s">
        <v>451</v>
      </c>
      <c r="I90" s="17" t="s">
        <v>452</v>
      </c>
      <c r="J90" s="17" t="s">
        <v>382</v>
      </c>
      <c r="K90" s="17" t="s">
        <v>453</v>
      </c>
    </row>
    <row r="91" spans="1:11" ht="28" x14ac:dyDescent="0.25">
      <c r="A91" s="17" t="s">
        <v>454</v>
      </c>
      <c r="B91" s="18" t="s">
        <v>378</v>
      </c>
      <c r="C91" s="22" t="s">
        <v>79</v>
      </c>
      <c r="D91" s="18">
        <v>-1</v>
      </c>
      <c r="E91" s="18">
        <v>3</v>
      </c>
      <c r="F91" s="21" t="s">
        <v>43</v>
      </c>
      <c r="G91" s="20" t="s">
        <v>15</v>
      </c>
      <c r="H91" s="17" t="s">
        <v>455</v>
      </c>
      <c r="I91" s="17" t="s">
        <v>456</v>
      </c>
      <c r="J91" s="17" t="s">
        <v>398</v>
      </c>
      <c r="K91" s="17" t="s">
        <v>457</v>
      </c>
    </row>
    <row r="92" spans="1:11" ht="28" x14ac:dyDescent="0.25">
      <c r="A92" s="17" t="s">
        <v>458</v>
      </c>
      <c r="B92" s="18" t="s">
        <v>378</v>
      </c>
      <c r="C92" s="22" t="s">
        <v>459</v>
      </c>
      <c r="D92" s="18">
        <v>-1</v>
      </c>
      <c r="E92" s="18">
        <v>3</v>
      </c>
      <c r="F92" s="21" t="s">
        <v>43</v>
      </c>
      <c r="G92" s="20" t="s">
        <v>15</v>
      </c>
      <c r="H92" s="17" t="s">
        <v>460</v>
      </c>
      <c r="I92" s="17" t="s">
        <v>461</v>
      </c>
      <c r="J92" s="17" t="s">
        <v>382</v>
      </c>
      <c r="K92" s="17" t="s">
        <v>462</v>
      </c>
    </row>
    <row r="93" spans="1:11" ht="28" x14ac:dyDescent="0.25">
      <c r="A93" s="17" t="s">
        <v>463</v>
      </c>
      <c r="B93" s="18" t="s">
        <v>378</v>
      </c>
      <c r="C93" s="22" t="s">
        <v>464</v>
      </c>
      <c r="D93" s="18">
        <v>-1</v>
      </c>
      <c r="E93" s="18">
        <v>3</v>
      </c>
      <c r="F93" s="21" t="s">
        <v>43</v>
      </c>
      <c r="G93" s="20" t="s">
        <v>15</v>
      </c>
      <c r="H93" s="17" t="s">
        <v>465</v>
      </c>
      <c r="I93" s="17" t="s">
        <v>466</v>
      </c>
      <c r="J93" s="17" t="s">
        <v>382</v>
      </c>
      <c r="K93" s="17" t="s">
        <v>467</v>
      </c>
    </row>
    <row r="94" spans="1:11" ht="28" x14ac:dyDescent="0.25">
      <c r="A94" s="17" t="s">
        <v>468</v>
      </c>
      <c r="B94" s="18" t="s">
        <v>378</v>
      </c>
      <c r="C94" s="22" t="s">
        <v>469</v>
      </c>
      <c r="D94" s="18">
        <v>-1</v>
      </c>
      <c r="E94" s="18">
        <v>3</v>
      </c>
      <c r="F94" s="21" t="s">
        <v>43</v>
      </c>
      <c r="G94" s="20" t="s">
        <v>15</v>
      </c>
      <c r="H94" s="17" t="s">
        <v>470</v>
      </c>
      <c r="I94" s="17" t="s">
        <v>471</v>
      </c>
      <c r="J94" s="17" t="s">
        <v>398</v>
      </c>
      <c r="K94" s="17" t="s">
        <v>472</v>
      </c>
    </row>
    <row r="95" spans="1:11" ht="28" x14ac:dyDescent="0.25">
      <c r="A95" s="17" t="s">
        <v>473</v>
      </c>
      <c r="B95" s="18" t="s">
        <v>378</v>
      </c>
      <c r="C95" s="22" t="s">
        <v>474</v>
      </c>
      <c r="D95" s="18">
        <v>-1</v>
      </c>
      <c r="E95" s="18">
        <v>3</v>
      </c>
      <c r="F95" s="19" t="s">
        <v>14</v>
      </c>
      <c r="G95" s="20" t="s">
        <v>15</v>
      </c>
      <c r="H95" s="17" t="s">
        <v>475</v>
      </c>
      <c r="I95" s="17" t="s">
        <v>476</v>
      </c>
      <c r="J95" s="17" t="s">
        <v>382</v>
      </c>
      <c r="K95" s="17" t="s">
        <v>477</v>
      </c>
    </row>
    <row r="96" spans="1:11" ht="28" x14ac:dyDescent="0.25">
      <c r="A96" s="17" t="s">
        <v>478</v>
      </c>
      <c r="B96" s="18" t="s">
        <v>378</v>
      </c>
      <c r="C96" s="22" t="s">
        <v>479</v>
      </c>
      <c r="D96" s="18">
        <v>-1</v>
      </c>
      <c r="E96" s="18">
        <v>3</v>
      </c>
      <c r="F96" s="21" t="s">
        <v>43</v>
      </c>
      <c r="G96" s="20" t="s">
        <v>15</v>
      </c>
      <c r="H96" s="17" t="s">
        <v>480</v>
      </c>
      <c r="I96" s="17" t="s">
        <v>481</v>
      </c>
      <c r="J96" s="17" t="s">
        <v>398</v>
      </c>
      <c r="K96" s="17" t="s">
        <v>482</v>
      </c>
    </row>
    <row r="97" spans="1:11" ht="28" x14ac:dyDescent="0.25">
      <c r="A97" s="17" t="s">
        <v>483</v>
      </c>
      <c r="B97" s="18" t="s">
        <v>378</v>
      </c>
      <c r="C97" s="22" t="s">
        <v>88</v>
      </c>
      <c r="D97" s="18">
        <v>-1</v>
      </c>
      <c r="E97" s="18">
        <v>3</v>
      </c>
      <c r="F97" s="19" t="s">
        <v>14</v>
      </c>
      <c r="G97" s="20" t="s">
        <v>15</v>
      </c>
      <c r="H97" s="17" t="s">
        <v>484</v>
      </c>
      <c r="I97" s="17" t="s">
        <v>485</v>
      </c>
      <c r="J97" s="17" t="s">
        <v>382</v>
      </c>
      <c r="K97" s="17" t="s">
        <v>486</v>
      </c>
    </row>
    <row r="98" spans="1:11" ht="28" x14ac:dyDescent="0.25">
      <c r="A98" s="17" t="s">
        <v>487</v>
      </c>
      <c r="B98" s="18" t="s">
        <v>378</v>
      </c>
      <c r="C98" s="22" t="s">
        <v>488</v>
      </c>
      <c r="D98" s="18">
        <v>-1</v>
      </c>
      <c r="E98" s="18">
        <v>3</v>
      </c>
      <c r="F98" s="19" t="s">
        <v>14</v>
      </c>
      <c r="G98" s="20" t="s">
        <v>15</v>
      </c>
      <c r="H98" s="17" t="s">
        <v>489</v>
      </c>
      <c r="I98" s="17" t="s">
        <v>490</v>
      </c>
      <c r="J98" s="17" t="s">
        <v>398</v>
      </c>
      <c r="K98" s="17" t="s">
        <v>491</v>
      </c>
    </row>
    <row r="99" spans="1:11" ht="28" x14ac:dyDescent="0.25">
      <c r="A99" s="17" t="s">
        <v>492</v>
      </c>
      <c r="B99" s="18" t="s">
        <v>378</v>
      </c>
      <c r="C99" s="22" t="s">
        <v>493</v>
      </c>
      <c r="D99" s="18">
        <v>-1</v>
      </c>
      <c r="E99" s="18">
        <v>3</v>
      </c>
      <c r="F99" s="21" t="s">
        <v>43</v>
      </c>
      <c r="G99" s="20" t="s">
        <v>15</v>
      </c>
      <c r="H99" s="17" t="s">
        <v>494</v>
      </c>
      <c r="I99" s="17" t="s">
        <v>495</v>
      </c>
      <c r="J99" s="17" t="s">
        <v>382</v>
      </c>
      <c r="K99" s="17" t="s">
        <v>496</v>
      </c>
    </row>
    <row r="100" spans="1:11" ht="28" x14ac:dyDescent="0.25">
      <c r="A100" s="17" t="s">
        <v>497</v>
      </c>
      <c r="B100" s="18" t="s">
        <v>378</v>
      </c>
      <c r="C100" s="22" t="s">
        <v>498</v>
      </c>
      <c r="D100" s="18">
        <v>-1</v>
      </c>
      <c r="E100" s="18">
        <v>3</v>
      </c>
      <c r="F100" s="19" t="s">
        <v>14</v>
      </c>
      <c r="G100" s="20" t="s">
        <v>15</v>
      </c>
      <c r="H100" s="17" t="s">
        <v>499</v>
      </c>
      <c r="I100" s="17" t="s">
        <v>500</v>
      </c>
      <c r="J100" s="17" t="s">
        <v>398</v>
      </c>
      <c r="K100" s="17" t="s">
        <v>501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57"/>
  </sheetPr>
  <dimension ref="A1:A83"/>
  <sheetViews>
    <sheetView topLeftCell="A40" workbookViewId="0"/>
  </sheetViews>
  <sheetFormatPr defaultColWidth="9" defaultRowHeight="14" x14ac:dyDescent="0.25"/>
  <cols>
    <col min="1" max="1" width="80" customWidth="1"/>
  </cols>
  <sheetData>
    <row r="1" spans="1:1" x14ac:dyDescent="0.25">
      <c r="A1" s="4" t="s">
        <v>502</v>
      </c>
    </row>
    <row r="2" spans="1:1" x14ac:dyDescent="0.25">
      <c r="A2" s="4" t="s">
        <v>503</v>
      </c>
    </row>
    <row r="3" spans="1:1" x14ac:dyDescent="0.25">
      <c r="A3" s="4" t="s">
        <v>502</v>
      </c>
    </row>
    <row r="4" spans="1:1" x14ac:dyDescent="0.25">
      <c r="A4" s="4" t="s">
        <v>504</v>
      </c>
    </row>
    <row r="5" spans="1:1" x14ac:dyDescent="0.25">
      <c r="A5" s="4" t="s">
        <v>505</v>
      </c>
    </row>
    <row r="6" spans="1:1" x14ac:dyDescent="0.25">
      <c r="A6" s="4" t="s">
        <v>506</v>
      </c>
    </row>
    <row r="7" spans="1:1" x14ac:dyDescent="0.25">
      <c r="A7" s="4"/>
    </row>
    <row r="8" spans="1:1" x14ac:dyDescent="0.25">
      <c r="A8" s="4" t="s">
        <v>507</v>
      </c>
    </row>
    <row r="9" spans="1:1" x14ac:dyDescent="0.25">
      <c r="A9" s="4" t="s">
        <v>508</v>
      </c>
    </row>
    <row r="10" spans="1:1" x14ac:dyDescent="0.25">
      <c r="A10" s="4" t="s">
        <v>509</v>
      </c>
    </row>
    <row r="11" spans="1:1" x14ac:dyDescent="0.25">
      <c r="A11" s="4"/>
    </row>
    <row r="12" spans="1:1" x14ac:dyDescent="0.25">
      <c r="A12" s="4" t="s">
        <v>510</v>
      </c>
    </row>
    <row r="13" spans="1:1" x14ac:dyDescent="0.25">
      <c r="A13" s="4" t="s">
        <v>511</v>
      </c>
    </row>
    <row r="14" spans="1:1" x14ac:dyDescent="0.25">
      <c r="A14" s="4" t="s">
        <v>512</v>
      </c>
    </row>
    <row r="15" spans="1:1" x14ac:dyDescent="0.25">
      <c r="A15" s="4"/>
    </row>
    <row r="16" spans="1:1" x14ac:dyDescent="0.25">
      <c r="A16" s="4" t="s">
        <v>513</v>
      </c>
    </row>
    <row r="17" spans="1:1" x14ac:dyDescent="0.25">
      <c r="A17" s="4" t="s">
        <v>514</v>
      </c>
    </row>
    <row r="18" spans="1:1" x14ac:dyDescent="0.25">
      <c r="A18" s="4" t="s">
        <v>515</v>
      </c>
    </row>
    <row r="19" spans="1:1" x14ac:dyDescent="0.25">
      <c r="A19" s="4" t="s">
        <v>516</v>
      </c>
    </row>
    <row r="20" spans="1:1" x14ac:dyDescent="0.25">
      <c r="A20" s="4" t="s">
        <v>517</v>
      </c>
    </row>
    <row r="21" spans="1:1" x14ac:dyDescent="0.25">
      <c r="A21" s="4" t="s">
        <v>518</v>
      </c>
    </row>
    <row r="22" spans="1:1" x14ac:dyDescent="0.25">
      <c r="A22" s="4" t="s">
        <v>519</v>
      </c>
    </row>
    <row r="23" spans="1:1" x14ac:dyDescent="0.25">
      <c r="A23" s="4" t="s">
        <v>516</v>
      </c>
    </row>
    <row r="24" spans="1:1" x14ac:dyDescent="0.25">
      <c r="A24" s="4" t="s">
        <v>520</v>
      </c>
    </row>
    <row r="25" spans="1:1" x14ac:dyDescent="0.25">
      <c r="A25" s="4" t="s">
        <v>521</v>
      </c>
    </row>
    <row r="26" spans="1:1" x14ac:dyDescent="0.25">
      <c r="A26" s="4"/>
    </row>
    <row r="27" spans="1:1" x14ac:dyDescent="0.25">
      <c r="A27" s="4" t="s">
        <v>522</v>
      </c>
    </row>
    <row r="28" spans="1:1" x14ac:dyDescent="0.25">
      <c r="A28" s="4" t="s">
        <v>523</v>
      </c>
    </row>
    <row r="29" spans="1:1" x14ac:dyDescent="0.25">
      <c r="A29" s="4" t="s">
        <v>524</v>
      </c>
    </row>
    <row r="30" spans="1:1" x14ac:dyDescent="0.25">
      <c r="A30" s="4" t="s">
        <v>525</v>
      </c>
    </row>
    <row r="31" spans="1:1" x14ac:dyDescent="0.25">
      <c r="A31" s="4"/>
    </row>
    <row r="32" spans="1:1" x14ac:dyDescent="0.25">
      <c r="A32" s="4" t="s">
        <v>526</v>
      </c>
    </row>
    <row r="33" spans="1:1" x14ac:dyDescent="0.25">
      <c r="A33" s="4" t="s">
        <v>527</v>
      </c>
    </row>
    <row r="34" spans="1:1" x14ac:dyDescent="0.25">
      <c r="A34" s="4" t="s">
        <v>528</v>
      </c>
    </row>
    <row r="35" spans="1:1" x14ac:dyDescent="0.25">
      <c r="A35" s="4" t="s">
        <v>529</v>
      </c>
    </row>
    <row r="36" spans="1:1" x14ac:dyDescent="0.25">
      <c r="A36" s="4" t="s">
        <v>524</v>
      </c>
    </row>
    <row r="37" spans="1:1" x14ac:dyDescent="0.25">
      <c r="A37" s="4" t="s">
        <v>530</v>
      </c>
    </row>
    <row r="38" spans="1:1" x14ac:dyDescent="0.25">
      <c r="A38" s="4" t="s">
        <v>531</v>
      </c>
    </row>
    <row r="39" spans="1:1" x14ac:dyDescent="0.25">
      <c r="A39" s="4"/>
    </row>
    <row r="40" spans="1:1" x14ac:dyDescent="0.25">
      <c r="A40" s="4" t="s">
        <v>532</v>
      </c>
    </row>
    <row r="41" spans="1:1" x14ac:dyDescent="0.25">
      <c r="A41" s="4" t="s">
        <v>533</v>
      </c>
    </row>
    <row r="42" spans="1:1" x14ac:dyDescent="0.25">
      <c r="A42" s="4" t="s">
        <v>534</v>
      </c>
    </row>
    <row r="43" spans="1:1" x14ac:dyDescent="0.25">
      <c r="A43" s="4" t="s">
        <v>535</v>
      </c>
    </row>
    <row r="44" spans="1:1" x14ac:dyDescent="0.25">
      <c r="A44" s="4" t="s">
        <v>536</v>
      </c>
    </row>
    <row r="45" spans="1:1" x14ac:dyDescent="0.25">
      <c r="A45" s="4" t="s">
        <v>537</v>
      </c>
    </row>
    <row r="46" spans="1:1" x14ac:dyDescent="0.25">
      <c r="A46" s="4"/>
    </row>
    <row r="47" spans="1:1" x14ac:dyDescent="0.25">
      <c r="A47" s="4" t="s">
        <v>538</v>
      </c>
    </row>
    <row r="48" spans="1:1" x14ac:dyDescent="0.25">
      <c r="A48" s="4" t="s">
        <v>539</v>
      </c>
    </row>
    <row r="49" spans="1:1" x14ac:dyDescent="0.25">
      <c r="A49" s="4" t="s">
        <v>540</v>
      </c>
    </row>
    <row r="50" spans="1:1" x14ac:dyDescent="0.25">
      <c r="A50" s="4" t="s">
        <v>541</v>
      </c>
    </row>
    <row r="51" spans="1:1" x14ac:dyDescent="0.25">
      <c r="A51" s="4" t="s">
        <v>542</v>
      </c>
    </row>
    <row r="52" spans="1:1" x14ac:dyDescent="0.25">
      <c r="A52" s="4" t="s">
        <v>543</v>
      </c>
    </row>
    <row r="53" spans="1:1" x14ac:dyDescent="0.25">
      <c r="A53" s="4"/>
    </row>
    <row r="54" spans="1:1" x14ac:dyDescent="0.25">
      <c r="A54" s="4" t="s">
        <v>544</v>
      </c>
    </row>
    <row r="55" spans="1:1" x14ac:dyDescent="0.25">
      <c r="A55" s="4" t="s">
        <v>545</v>
      </c>
    </row>
    <row r="56" spans="1:1" x14ac:dyDescent="0.25">
      <c r="A56" s="4" t="s">
        <v>546</v>
      </c>
    </row>
    <row r="57" spans="1:1" x14ac:dyDescent="0.25">
      <c r="A57" s="4" t="s">
        <v>547</v>
      </c>
    </row>
    <row r="58" spans="1:1" x14ac:dyDescent="0.25">
      <c r="A58" s="4" t="s">
        <v>548</v>
      </c>
    </row>
    <row r="59" spans="1:1" x14ac:dyDescent="0.25">
      <c r="A59" s="4" t="s">
        <v>549</v>
      </c>
    </row>
    <row r="60" spans="1:1" x14ac:dyDescent="0.25">
      <c r="A60" s="4" t="s">
        <v>550</v>
      </c>
    </row>
    <row r="61" spans="1:1" x14ac:dyDescent="0.25">
      <c r="A61" s="4" t="s">
        <v>551</v>
      </c>
    </row>
    <row r="62" spans="1:1" x14ac:dyDescent="0.25">
      <c r="A62" s="4" t="s">
        <v>552</v>
      </c>
    </row>
    <row r="63" spans="1:1" x14ac:dyDescent="0.25">
      <c r="A63" s="4" t="s">
        <v>553</v>
      </c>
    </row>
    <row r="64" spans="1:1" x14ac:dyDescent="0.25">
      <c r="A64" s="4" t="s">
        <v>554</v>
      </c>
    </row>
    <row r="65" spans="1:1" x14ac:dyDescent="0.25">
      <c r="A65" s="4" t="s">
        <v>555</v>
      </c>
    </row>
    <row r="66" spans="1:1" x14ac:dyDescent="0.25">
      <c r="A66" s="4" t="s">
        <v>556</v>
      </c>
    </row>
    <row r="67" spans="1:1" x14ac:dyDescent="0.25">
      <c r="A67" s="4" t="s">
        <v>557</v>
      </c>
    </row>
    <row r="68" spans="1:1" x14ac:dyDescent="0.25">
      <c r="A68" s="4" t="s">
        <v>558</v>
      </c>
    </row>
    <row r="69" spans="1:1" x14ac:dyDescent="0.25">
      <c r="A69" s="4" t="s">
        <v>559</v>
      </c>
    </row>
    <row r="70" spans="1:1" x14ac:dyDescent="0.25">
      <c r="A70" s="4" t="s">
        <v>560</v>
      </c>
    </row>
    <row r="71" spans="1:1" x14ac:dyDescent="0.25">
      <c r="A71" s="4"/>
    </row>
    <row r="72" spans="1:1" x14ac:dyDescent="0.25">
      <c r="A72" s="4" t="s">
        <v>561</v>
      </c>
    </row>
    <row r="73" spans="1:1" x14ac:dyDescent="0.25">
      <c r="A73" s="4"/>
    </row>
    <row r="74" spans="1:1" x14ac:dyDescent="0.25">
      <c r="A74" s="4" t="s">
        <v>562</v>
      </c>
    </row>
    <row r="75" spans="1:1" x14ac:dyDescent="0.25">
      <c r="A75" s="4" t="s">
        <v>563</v>
      </c>
    </row>
    <row r="76" spans="1:1" x14ac:dyDescent="0.25">
      <c r="A76" s="4" t="s">
        <v>564</v>
      </c>
    </row>
    <row r="77" spans="1:1" x14ac:dyDescent="0.25">
      <c r="A77" s="4"/>
    </row>
    <row r="78" spans="1:1" x14ac:dyDescent="0.25">
      <c r="A78" s="4" t="s">
        <v>565</v>
      </c>
    </row>
    <row r="79" spans="1:1" x14ac:dyDescent="0.25">
      <c r="A79" s="4" t="s">
        <v>566</v>
      </c>
    </row>
    <row r="80" spans="1:1" x14ac:dyDescent="0.25">
      <c r="A80" s="4" t="s">
        <v>567</v>
      </c>
    </row>
    <row r="81" spans="1:1" x14ac:dyDescent="0.25">
      <c r="A81" s="4"/>
    </row>
    <row r="82" spans="1:1" x14ac:dyDescent="0.25">
      <c r="A82" s="4" t="s">
        <v>568</v>
      </c>
    </row>
    <row r="83" spans="1:1" x14ac:dyDescent="0.25">
      <c r="A83" s="4" t="s">
        <v>569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ColWidth="9" defaultRowHeight="14" x14ac:dyDescent="0.25"/>
  <cols>
    <col min="1" max="1" width="26" customWidth="1"/>
    <col min="2" max="2" width="36" customWidth="1"/>
    <col min="3" max="3" width="30" customWidth="1"/>
  </cols>
  <sheetData>
    <row r="1" spans="1:3" ht="16.649999999999999" customHeight="1" x14ac:dyDescent="0.25">
      <c r="A1" s="1" t="s">
        <v>570</v>
      </c>
      <c r="B1" s="1" t="s">
        <v>571</v>
      </c>
      <c r="C1" s="1" t="s">
        <v>572</v>
      </c>
    </row>
    <row r="2" spans="1:3" x14ac:dyDescent="0.25">
      <c r="A2" s="2" t="s">
        <v>2</v>
      </c>
      <c r="B2" s="2" t="s">
        <v>573</v>
      </c>
      <c r="C2" s="2" t="s">
        <v>574</v>
      </c>
    </row>
    <row r="3" spans="1:3" ht="17.399999999999999" customHeight="1" x14ac:dyDescent="0.25">
      <c r="A3" s="3" t="s">
        <v>575</v>
      </c>
      <c r="B3" s="3" t="s">
        <v>576</v>
      </c>
      <c r="C3" s="3" t="s">
        <v>577</v>
      </c>
    </row>
    <row r="4" spans="1:3" ht="17.399999999999999" customHeight="1" x14ac:dyDescent="0.25">
      <c r="A4" s="2" t="s">
        <v>578</v>
      </c>
      <c r="B4" s="2" t="s">
        <v>579</v>
      </c>
      <c r="C4" s="2" t="s">
        <v>580</v>
      </c>
    </row>
    <row r="5" spans="1:3" x14ac:dyDescent="0.25">
      <c r="A5" s="3" t="s">
        <v>5</v>
      </c>
      <c r="B5" s="3" t="s">
        <v>581</v>
      </c>
      <c r="C5" s="3" t="s">
        <v>582</v>
      </c>
    </row>
    <row r="6" spans="1:3" x14ac:dyDescent="0.25">
      <c r="A6" s="2" t="s">
        <v>6</v>
      </c>
      <c r="B6" s="2" t="s">
        <v>583</v>
      </c>
      <c r="C6" s="2" t="s">
        <v>584</v>
      </c>
    </row>
    <row r="7" spans="1:3" x14ac:dyDescent="0.25">
      <c r="A7" s="3" t="s">
        <v>9</v>
      </c>
      <c r="B7" s="3" t="s">
        <v>585</v>
      </c>
      <c r="C7" s="3" t="s">
        <v>586</v>
      </c>
    </row>
    <row r="8" spans="1:3" x14ac:dyDescent="0.25">
      <c r="A8" s="2" t="s">
        <v>1</v>
      </c>
      <c r="B8" s="2" t="s">
        <v>587</v>
      </c>
      <c r="C8" s="2" t="s">
        <v>588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topLeftCell="G26" workbookViewId="0">
      <selection activeCell="U14" sqref="U14:U26"/>
    </sheetView>
  </sheetViews>
  <sheetFormatPr defaultRowHeight="14" x14ac:dyDescent="0.25"/>
  <cols>
    <col min="1" max="1" width="7" customWidth="1"/>
    <col min="2" max="2" width="36" customWidth="1"/>
    <col min="3" max="3" width="13" customWidth="1"/>
    <col min="4" max="4" width="12" customWidth="1"/>
    <col min="5" max="8" width="10" customWidth="1"/>
    <col min="9" max="9" width="9" customWidth="1"/>
    <col min="10" max="10" width="10" customWidth="1"/>
    <col min="11" max="11" width="9" customWidth="1"/>
    <col min="12" max="12" width="12" customWidth="1"/>
    <col min="13" max="14" width="10" customWidth="1"/>
    <col min="15" max="15" width="8" customWidth="1"/>
    <col min="16" max="16" width="15" customWidth="1"/>
    <col min="17" max="18" width="14" customWidth="1"/>
    <col min="19" max="19" width="18" customWidth="1"/>
    <col min="20" max="20" width="24" customWidth="1"/>
    <col min="21" max="21" width="48" customWidth="1"/>
  </cols>
  <sheetData>
    <row r="1" spans="1:20" ht="22.65" customHeight="1" x14ac:dyDescent="0.25">
      <c r="A1" s="39" t="s">
        <v>589</v>
      </c>
      <c r="B1" s="39" t="s">
        <v>0</v>
      </c>
      <c r="C1" s="39" t="s">
        <v>1</v>
      </c>
      <c r="D1" s="39" t="s">
        <v>2</v>
      </c>
      <c r="E1" s="39" t="s">
        <v>590</v>
      </c>
      <c r="F1" s="39" t="s">
        <v>591</v>
      </c>
      <c r="G1" s="39" t="s">
        <v>592</v>
      </c>
      <c r="H1" s="39" t="s">
        <v>5</v>
      </c>
      <c r="I1" s="39" t="s">
        <v>593</v>
      </c>
      <c r="J1" s="39" t="s">
        <v>6</v>
      </c>
      <c r="K1" s="39" t="s">
        <v>594</v>
      </c>
      <c r="L1" s="39" t="s">
        <v>595</v>
      </c>
      <c r="M1" s="39" t="s">
        <v>12</v>
      </c>
      <c r="N1" s="39" t="s">
        <v>144</v>
      </c>
      <c r="O1" s="39" t="s">
        <v>267</v>
      </c>
      <c r="P1" s="39" t="s">
        <v>596</v>
      </c>
      <c r="Q1" s="39" t="s">
        <v>597</v>
      </c>
      <c r="R1" s="39" t="s">
        <v>598</v>
      </c>
      <c r="S1" s="39" t="s">
        <v>599</v>
      </c>
      <c r="T1" s="39" t="s">
        <v>600</v>
      </c>
    </row>
    <row r="2" spans="1:20" ht="26.65" customHeight="1" x14ac:dyDescent="0.25">
      <c r="A2" s="30">
        <f>IF('事件总表（增强版）'!A2="","",ROW()-1)</f>
        <v>1</v>
      </c>
      <c r="B2" s="29" t="str">
        <f>IF('事件总表（增强版）'!A2="","",'事件总表（增强版）'!A2)</f>
        <v>央行降准降息与A股大金融板块联动</v>
      </c>
      <c r="C2" s="29" t="str">
        <f>IF('事件总表（增强版）'!B2="","",'事件总表（增强版）'!B2)</f>
        <v>宏观/地缘</v>
      </c>
      <c r="D2" s="31" t="str">
        <f>IF('事件总表（增强版）'!C2="","",'事件总表（增强版）'!C2)</f>
        <v>2024-09-24</v>
      </c>
      <c r="E2" s="32">
        <f>IF('事件总表（增强版）'!D2="","",'事件总表（增强版）'!D2)</f>
        <v>-1</v>
      </c>
      <c r="F2" s="32">
        <f>IF('事件总表（增强版）'!E2="","",'事件总表（增强版）'!E2)</f>
        <v>3</v>
      </c>
      <c r="G2" s="32">
        <f>IF('事件总表（增强版）'!A2="","",F2-E2+1)</f>
        <v>5</v>
      </c>
      <c r="H2" s="29" t="str">
        <f>IF('事件总表（增强版）'!F2="","",'事件总表（增强版）'!F2)</f>
        <v>中</v>
      </c>
      <c r="I2" s="32">
        <f t="shared" ref="I2:I33" si="0">IF(H2="高",3,IF(H2="中",2,IF(H2="低",1,"")))</f>
        <v>2</v>
      </c>
      <c r="J2" s="32" t="str">
        <f>IF('事件总表（增强版）'!G2="","",'事件总表（增强版）'!G2)</f>
        <v>正面</v>
      </c>
      <c r="K2" s="32">
        <f t="shared" ref="K2:K33" si="1">IF(J2="正面",1,IF(J2="负面",-1,IF(J2="双向",0,"")))</f>
        <v>1</v>
      </c>
      <c r="L2" s="32">
        <v>2</v>
      </c>
      <c r="M2" s="32">
        <f t="shared" ref="M2:M33" si="2">IF(C2="宏观/地缘",1,0)</f>
        <v>1</v>
      </c>
      <c r="N2" s="32">
        <f t="shared" ref="N2:N33" si="3">IF(C2="行业/技术",1,0)</f>
        <v>0</v>
      </c>
      <c r="O2" s="32">
        <f t="shared" ref="O2:O33" si="4">IF(C2="政策",1,0)</f>
        <v>0</v>
      </c>
      <c r="P2" s="33"/>
      <c r="Q2" s="33"/>
      <c r="R2" s="33"/>
      <c r="S2" s="33">
        <v>5.6</v>
      </c>
      <c r="T2" s="29" t="s">
        <v>601</v>
      </c>
    </row>
    <row r="3" spans="1:20" ht="26.65" customHeight="1" x14ac:dyDescent="0.25">
      <c r="A3" s="30">
        <f>IF('事件总表（增强版）'!A3="","",ROW()-1)</f>
        <v>2</v>
      </c>
      <c r="B3" s="29" t="str">
        <f>IF('事件总表（增强版）'!A3="","",'事件总表（增强版）'!A3)</f>
        <v>红海危机与A股航运板块联动</v>
      </c>
      <c r="C3" s="29" t="str">
        <f>IF('事件总表（增强版）'!B3="","",'事件总表（增强版）'!B3)</f>
        <v>宏观/地缘</v>
      </c>
      <c r="D3" s="31" t="str">
        <f>IF('事件总表（增强版）'!C3="","",'事件总表（增强版）'!C3)</f>
        <v>2023-12-18</v>
      </c>
      <c r="E3" s="32">
        <f>IF('事件总表（增强版）'!D3="","",'事件总表（增强版）'!D3)</f>
        <v>-1</v>
      </c>
      <c r="F3" s="32">
        <f>IF('事件总表（增强版）'!E3="","",'事件总表（增强版）'!E3)</f>
        <v>3</v>
      </c>
      <c r="G3" s="32">
        <f>IF('事件总表（增强版）'!A3="","",F3-E3+1)</f>
        <v>5</v>
      </c>
      <c r="H3" s="29" t="str">
        <f>IF('事件总表（增强版）'!F3="","",'事件总表（增强版）'!F3)</f>
        <v>中</v>
      </c>
      <c r="I3" s="32">
        <f t="shared" si="0"/>
        <v>2</v>
      </c>
      <c r="J3" s="32" t="str">
        <f>IF('事件总表（增强版）'!G3="","",'事件总表（增强版）'!G3)</f>
        <v>正面</v>
      </c>
      <c r="K3" s="32">
        <f t="shared" si="1"/>
        <v>1</v>
      </c>
      <c r="L3" s="32">
        <v>2</v>
      </c>
      <c r="M3" s="32">
        <f t="shared" si="2"/>
        <v>1</v>
      </c>
      <c r="N3" s="32">
        <f t="shared" si="3"/>
        <v>0</v>
      </c>
      <c r="O3" s="32">
        <f t="shared" si="4"/>
        <v>0</v>
      </c>
      <c r="P3" s="33"/>
      <c r="Q3" s="33"/>
      <c r="R3" s="33"/>
      <c r="S3" s="33">
        <v>3.8</v>
      </c>
      <c r="T3" s="29" t="s">
        <v>601</v>
      </c>
    </row>
    <row r="4" spans="1:20" ht="26.65" customHeight="1" x14ac:dyDescent="0.25">
      <c r="A4" s="30">
        <f>IF('事件总表（增强版）'!A4="","",ROW()-1)</f>
        <v>3</v>
      </c>
      <c r="B4" s="29" t="str">
        <f>IF('事件总表（增强版）'!A4="","",'事件总表（增强版）'!A4)</f>
        <v>镓锗出口管制与A股稀有金属板块联动</v>
      </c>
      <c r="C4" s="29" t="str">
        <f>IF('事件总表（增强版）'!B4="","",'事件总表（增强版）'!B4)</f>
        <v>宏观/地缘</v>
      </c>
      <c r="D4" s="31" t="str">
        <f>IF('事件总表（增强版）'!C4="","",'事件总表（增强版）'!C4)</f>
        <v>2023-07-03</v>
      </c>
      <c r="E4" s="32">
        <f>IF('事件总表（增强版）'!D4="","",'事件总表（增强版）'!D4)</f>
        <v>-1</v>
      </c>
      <c r="F4" s="32">
        <f>IF('事件总表（增强版）'!E4="","",'事件总表（增强版）'!E4)</f>
        <v>3</v>
      </c>
      <c r="G4" s="32">
        <f>IF('事件总表（增强版）'!A4="","",F4-E4+1)</f>
        <v>5</v>
      </c>
      <c r="H4" s="29" t="str">
        <f>IF('事件总表（增强版）'!F4="","",'事件总表（增强版）'!F4)</f>
        <v>中</v>
      </c>
      <c r="I4" s="32">
        <f t="shared" si="0"/>
        <v>2</v>
      </c>
      <c r="J4" s="32" t="str">
        <f>IF('事件总表（增强版）'!G4="","",'事件总表（增强版）'!G4)</f>
        <v>正面</v>
      </c>
      <c r="K4" s="32">
        <f t="shared" si="1"/>
        <v>1</v>
      </c>
      <c r="L4" s="32">
        <v>2</v>
      </c>
      <c r="M4" s="32">
        <f t="shared" si="2"/>
        <v>1</v>
      </c>
      <c r="N4" s="32">
        <f t="shared" si="3"/>
        <v>0</v>
      </c>
      <c r="O4" s="32">
        <f t="shared" si="4"/>
        <v>0</v>
      </c>
      <c r="P4" s="33"/>
      <c r="Q4" s="33"/>
      <c r="R4" s="33"/>
      <c r="S4" s="33">
        <v>4.5</v>
      </c>
      <c r="T4" s="29" t="s">
        <v>601</v>
      </c>
    </row>
    <row r="5" spans="1:20" ht="26.65" customHeight="1" x14ac:dyDescent="0.25">
      <c r="A5" s="30">
        <f>IF('事件总表（增强版）'!A5="","",ROW()-1)</f>
        <v>4</v>
      </c>
      <c r="B5" s="29" t="str">
        <f>IF('事件总表（增强版）'!A5="","",'事件总表（增强版）'!A5)</f>
        <v>锑及超硬材料出口管制与A股锑矿板块联动</v>
      </c>
      <c r="C5" s="29" t="str">
        <f>IF('事件总表（增强版）'!B5="","",'事件总表（增强版）'!B5)</f>
        <v>宏观/地缘</v>
      </c>
      <c r="D5" s="31" t="str">
        <f>IF('事件总表（增强版）'!C5="","",'事件总表（增强版）'!C5)</f>
        <v>2024-08-15</v>
      </c>
      <c r="E5" s="32">
        <f>IF('事件总表（增强版）'!D5="","",'事件总表（增强版）'!D5)</f>
        <v>-1</v>
      </c>
      <c r="F5" s="32">
        <f>IF('事件总表（增强版）'!E5="","",'事件总表（增强版）'!E5)</f>
        <v>3</v>
      </c>
      <c r="G5" s="32">
        <f>IF('事件总表（增强版）'!A5="","",F5-E5+1)</f>
        <v>5</v>
      </c>
      <c r="H5" s="29" t="str">
        <f>IF('事件总表（增强版）'!F5="","",'事件总表（增强版）'!F5)</f>
        <v>中</v>
      </c>
      <c r="I5" s="32">
        <f t="shared" si="0"/>
        <v>2</v>
      </c>
      <c r="J5" s="32" t="str">
        <f>IF('事件总表（增强版）'!G5="","",'事件总表（增强版）'!G5)</f>
        <v>正面</v>
      </c>
      <c r="K5" s="32">
        <f t="shared" si="1"/>
        <v>1</v>
      </c>
      <c r="L5" s="32">
        <v>2</v>
      </c>
      <c r="M5" s="32">
        <f t="shared" si="2"/>
        <v>1</v>
      </c>
      <c r="N5" s="32">
        <f t="shared" si="3"/>
        <v>0</v>
      </c>
      <c r="O5" s="32">
        <f t="shared" si="4"/>
        <v>0</v>
      </c>
      <c r="P5" s="33"/>
      <c r="Q5" s="33"/>
      <c r="R5" s="33"/>
      <c r="S5" s="33">
        <v>3.7</v>
      </c>
      <c r="T5" s="29" t="s">
        <v>601</v>
      </c>
    </row>
    <row r="6" spans="1:20" ht="26.65" customHeight="1" x14ac:dyDescent="0.25">
      <c r="A6" s="30">
        <f>IF('事件总表（增强版）'!A6="","",ROW()-1)</f>
        <v>5</v>
      </c>
      <c r="B6" s="29" t="str">
        <f>IF('事件总表（增强版）'!A6="","",'事件总表（增强版）'!A6)</f>
        <v>超长期特别国债首发与A股基建板块联动</v>
      </c>
      <c r="C6" s="29" t="str">
        <f>IF('事件总表（增强版）'!B6="","",'事件总表（增强版）'!B6)</f>
        <v>宏观/地缘</v>
      </c>
      <c r="D6" s="31" t="str">
        <f>IF('事件总表（增强版）'!C6="","",'事件总表（增强版）'!C6)</f>
        <v>2024-05-17</v>
      </c>
      <c r="E6" s="32">
        <f>IF('事件总表（增强版）'!D6="","",'事件总表（增强版）'!D6)</f>
        <v>-1</v>
      </c>
      <c r="F6" s="32">
        <f>IF('事件总表（增强版）'!E6="","",'事件总表（增强版）'!E6)</f>
        <v>3</v>
      </c>
      <c r="G6" s="32">
        <f>IF('事件总表（增强版）'!A6="","",F6-E6+1)</f>
        <v>5</v>
      </c>
      <c r="H6" s="29" t="str">
        <f>IF('事件总表（增强版）'!F6="","",'事件总表（增强版）'!F6)</f>
        <v>低</v>
      </c>
      <c r="I6" s="32">
        <f t="shared" si="0"/>
        <v>1</v>
      </c>
      <c r="J6" s="32" t="str">
        <f>IF('事件总表（增强版）'!G6="","",'事件总表（增强版）'!G6)</f>
        <v>正面</v>
      </c>
      <c r="K6" s="32">
        <f t="shared" si="1"/>
        <v>1</v>
      </c>
      <c r="L6" s="32">
        <v>1</v>
      </c>
      <c r="M6" s="32">
        <f t="shared" si="2"/>
        <v>1</v>
      </c>
      <c r="N6" s="32">
        <f t="shared" si="3"/>
        <v>0</v>
      </c>
      <c r="O6" s="32">
        <f t="shared" si="4"/>
        <v>0</v>
      </c>
      <c r="P6" s="33"/>
      <c r="Q6" s="33"/>
      <c r="R6" s="33"/>
      <c r="S6" s="33">
        <v>1.4</v>
      </c>
      <c r="T6" s="29" t="s">
        <v>601</v>
      </c>
    </row>
    <row r="7" spans="1:20" ht="26.65" customHeight="1" x14ac:dyDescent="0.25">
      <c r="A7" s="30">
        <f>IF('事件总表（增强版）'!A7="","",ROW()-1)</f>
        <v>6</v>
      </c>
      <c r="B7" s="29" t="str">
        <f>IF('事件总表（增强版）'!A7="","",'事件总表（增强版）'!A7)</f>
        <v>日本福岛核污染水排海与A股水产养殖联动</v>
      </c>
      <c r="C7" s="29" t="str">
        <f>IF('事件总表（增强版）'!B7="","",'事件总表（增强版）'!B7)</f>
        <v>宏观/地缘</v>
      </c>
      <c r="D7" s="31" t="str">
        <f>IF('事件总表（增强版）'!C7="","",'事件总表（增强版）'!C7)</f>
        <v>2023-08-24</v>
      </c>
      <c r="E7" s="32">
        <f>IF('事件总表（增强版）'!D7="","",'事件总表（增强版）'!D7)</f>
        <v>-1</v>
      </c>
      <c r="F7" s="32">
        <f>IF('事件总表（增强版）'!E7="","",'事件总表（增强版）'!E7)</f>
        <v>3</v>
      </c>
      <c r="G7" s="32">
        <f>IF('事件总表（增强版）'!A7="","",F7-E7+1)</f>
        <v>5</v>
      </c>
      <c r="H7" s="29" t="str">
        <f>IF('事件总表（增强版）'!F7="","",'事件总表（增强版）'!F7)</f>
        <v>高</v>
      </c>
      <c r="I7" s="32">
        <f t="shared" si="0"/>
        <v>3</v>
      </c>
      <c r="J7" s="32" t="str">
        <f>IF('事件总表（增强版）'!G7="","",'事件总表（增强版）'!G7)</f>
        <v>正面</v>
      </c>
      <c r="K7" s="32">
        <f t="shared" si="1"/>
        <v>1</v>
      </c>
      <c r="L7" s="32">
        <v>3</v>
      </c>
      <c r="M7" s="32">
        <f t="shared" si="2"/>
        <v>1</v>
      </c>
      <c r="N7" s="32">
        <f t="shared" si="3"/>
        <v>0</v>
      </c>
      <c r="O7" s="32">
        <f t="shared" si="4"/>
        <v>0</v>
      </c>
      <c r="P7" s="33"/>
      <c r="Q7" s="33"/>
      <c r="R7" s="33"/>
      <c r="S7" s="33">
        <v>6.8</v>
      </c>
      <c r="T7" s="29" t="s">
        <v>601</v>
      </c>
    </row>
    <row r="8" spans="1:20" ht="26.65" customHeight="1" x14ac:dyDescent="0.25">
      <c r="A8" s="30">
        <f>IF('事件总表（增强版）'!A8="","",ROW()-1)</f>
        <v>7</v>
      </c>
      <c r="B8" s="29" t="str">
        <f>IF('事件总表（增强版）'!A8="","",'事件总表（增强版）'!A8)</f>
        <v>低空经济写入政府工作报告与飞行汽车板块联动</v>
      </c>
      <c r="C8" s="29" t="str">
        <f>IF('事件总表（增强版）'!B8="","",'事件总表（增强版）'!B8)</f>
        <v>宏观/地缘</v>
      </c>
      <c r="D8" s="31" t="str">
        <f>IF('事件总表（增强版）'!C8="","",'事件总表（增强版）'!C8)</f>
        <v>2024-03-29</v>
      </c>
      <c r="E8" s="32">
        <f>IF('事件总表（增强版）'!D8="","",'事件总表（增强版）'!D8)</f>
        <v>-1</v>
      </c>
      <c r="F8" s="32">
        <f>IF('事件总表（增强版）'!E8="","",'事件总表（增强版）'!E8)</f>
        <v>3</v>
      </c>
      <c r="G8" s="32">
        <f>IF('事件总表（增强版）'!A8="","",F8-E8+1)</f>
        <v>5</v>
      </c>
      <c r="H8" s="29" t="str">
        <f>IF('事件总表（增强版）'!F8="","",'事件总表（增强版）'!F8)</f>
        <v>中</v>
      </c>
      <c r="I8" s="32">
        <f t="shared" si="0"/>
        <v>2</v>
      </c>
      <c r="J8" s="32" t="str">
        <f>IF('事件总表（增强版）'!G8="","",'事件总表（增强版）'!G8)</f>
        <v>正面</v>
      </c>
      <c r="K8" s="32">
        <f t="shared" si="1"/>
        <v>1</v>
      </c>
      <c r="L8" s="32">
        <v>2</v>
      </c>
      <c r="M8" s="32">
        <f t="shared" si="2"/>
        <v>1</v>
      </c>
      <c r="N8" s="32">
        <f t="shared" si="3"/>
        <v>0</v>
      </c>
      <c r="O8" s="32">
        <f t="shared" si="4"/>
        <v>0</v>
      </c>
      <c r="P8" s="33"/>
      <c r="Q8" s="33"/>
      <c r="R8" s="33"/>
      <c r="S8" s="33">
        <v>5.2</v>
      </c>
      <c r="T8" s="29" t="s">
        <v>601</v>
      </c>
    </row>
    <row r="9" spans="1:20" ht="26.65" customHeight="1" x14ac:dyDescent="0.25">
      <c r="A9" s="30">
        <f>IF('事件总表（增强版）'!A9="","",ROW()-1)</f>
        <v>8</v>
      </c>
      <c r="B9" s="29" t="str">
        <f>IF('事件总表（增强版）'!A9="","",'事件总表（增强版）'!A9)</f>
        <v>中央汇金买入ETF与A股宽基指数联动</v>
      </c>
      <c r="C9" s="29" t="str">
        <f>IF('事件总表（增强版）'!B9="","",'事件总表（增强版）'!B9)</f>
        <v>宏观/地缘</v>
      </c>
      <c r="D9" s="31" t="str">
        <f>IF('事件总表（增强版）'!C9="","",'事件总表（增强版）'!C9)</f>
        <v>2023-10-24</v>
      </c>
      <c r="E9" s="32">
        <f>IF('事件总表（增强版）'!D9="","",'事件总表（增强版）'!D9)</f>
        <v>-1</v>
      </c>
      <c r="F9" s="32">
        <f>IF('事件总表（增强版）'!E9="","",'事件总表（增强版）'!E9)</f>
        <v>3</v>
      </c>
      <c r="G9" s="32">
        <f>IF('事件总表（增强版）'!A9="","",F9-E9+1)</f>
        <v>5</v>
      </c>
      <c r="H9" s="29" t="str">
        <f>IF('事件总表（增强版）'!F9="","",'事件总表（增强版）'!F9)</f>
        <v>低</v>
      </c>
      <c r="I9" s="32">
        <f t="shared" si="0"/>
        <v>1</v>
      </c>
      <c r="J9" s="32" t="str">
        <f>IF('事件总表（增强版）'!G9="","",'事件总表（增强版）'!G9)</f>
        <v>正面</v>
      </c>
      <c r="K9" s="32">
        <f t="shared" si="1"/>
        <v>1</v>
      </c>
      <c r="L9" s="32">
        <v>1</v>
      </c>
      <c r="M9" s="32">
        <f t="shared" si="2"/>
        <v>1</v>
      </c>
      <c r="N9" s="32">
        <f t="shared" si="3"/>
        <v>0</v>
      </c>
      <c r="O9" s="32">
        <f t="shared" si="4"/>
        <v>0</v>
      </c>
      <c r="P9" s="33"/>
      <c r="Q9" s="33"/>
      <c r="R9" s="33"/>
      <c r="S9" s="33">
        <v>1.8</v>
      </c>
      <c r="T9" s="29" t="s">
        <v>601</v>
      </c>
    </row>
    <row r="10" spans="1:20" ht="26.65" customHeight="1" x14ac:dyDescent="0.25">
      <c r="A10" s="30">
        <f>IF('事件总表（增强版）'!A10="","",ROW()-1)</f>
        <v>9</v>
      </c>
      <c r="B10" s="29" t="str">
        <f>IF('事件总表（增强版）'!A10="","",'事件总表（增强版）'!A10)</f>
        <v>中东地缘局势升级与A股避险板块联动</v>
      </c>
      <c r="C10" s="29" t="str">
        <f>IF('事件总表（增强版）'!B10="","",'事件总表（增强版）'!B10)</f>
        <v>宏观/地缘</v>
      </c>
      <c r="D10" s="31" t="str">
        <f>IF('事件总表（增强版）'!C10="","",'事件总表（增强版）'!C10)</f>
        <v>2024-04-15</v>
      </c>
      <c r="E10" s="32">
        <f>IF('事件总表（增强版）'!D10="","",'事件总表（增强版）'!D10)</f>
        <v>-1</v>
      </c>
      <c r="F10" s="32">
        <f>IF('事件总表（增强版）'!E10="","",'事件总表（增强版）'!E10)</f>
        <v>3</v>
      </c>
      <c r="G10" s="32">
        <f>IF('事件总表（增强版）'!A10="","",F10-E10+1)</f>
        <v>5</v>
      </c>
      <c r="H10" s="29" t="str">
        <f>IF('事件总表（增强版）'!F10="","",'事件总表（增强版）'!F10)</f>
        <v>中</v>
      </c>
      <c r="I10" s="32">
        <f t="shared" si="0"/>
        <v>2</v>
      </c>
      <c r="J10" s="32" t="str">
        <f>IF('事件总表（增强版）'!G10="","",'事件总表（增强版）'!G10)</f>
        <v>正面</v>
      </c>
      <c r="K10" s="32">
        <f t="shared" si="1"/>
        <v>1</v>
      </c>
      <c r="L10" s="32">
        <v>2</v>
      </c>
      <c r="M10" s="32">
        <f t="shared" si="2"/>
        <v>1</v>
      </c>
      <c r="N10" s="32">
        <f t="shared" si="3"/>
        <v>0</v>
      </c>
      <c r="O10" s="32">
        <f t="shared" si="4"/>
        <v>0</v>
      </c>
      <c r="P10" s="33"/>
      <c r="Q10" s="33"/>
      <c r="R10" s="33"/>
      <c r="S10" s="33">
        <v>3.2</v>
      </c>
      <c r="T10" s="29" t="s">
        <v>601</v>
      </c>
    </row>
    <row r="11" spans="1:20" ht="26.65" customHeight="1" x14ac:dyDescent="0.25">
      <c r="A11" s="30">
        <f>IF('事件总表（增强版）'!A11="","",ROW()-1)</f>
        <v>10</v>
      </c>
      <c r="B11" s="29" t="str">
        <f>IF('事件总表（增强版）'!A11="","",'事件总表（增强版）'!A11)</f>
        <v>CrowdStrike全球宕机与A股网安板块联动</v>
      </c>
      <c r="C11" s="29" t="str">
        <f>IF('事件总表（增强版）'!B11="","",'事件总表（增强版）'!B11)</f>
        <v>宏观/地缘</v>
      </c>
      <c r="D11" s="31" t="str">
        <f>IF('事件总表（增强版）'!C11="","",'事件总表（增强版）'!C11)</f>
        <v>2024-07-19</v>
      </c>
      <c r="E11" s="32">
        <f>IF('事件总表（增强版）'!D11="","",'事件总表（增强版）'!D11)</f>
        <v>-1</v>
      </c>
      <c r="F11" s="32">
        <f>IF('事件总表（增强版）'!E11="","",'事件总表（增强版）'!E11)</f>
        <v>3</v>
      </c>
      <c r="G11" s="32">
        <f>IF('事件总表（增强版）'!A11="","",F11-E11+1)</f>
        <v>5</v>
      </c>
      <c r="H11" s="29" t="str">
        <f>IF('事件总表（增强版）'!F11="","",'事件总表（增强版）'!F11)</f>
        <v>中</v>
      </c>
      <c r="I11" s="32">
        <f t="shared" si="0"/>
        <v>2</v>
      </c>
      <c r="J11" s="32" t="str">
        <f>IF('事件总表（增强版）'!G11="","",'事件总表（增强版）'!G11)</f>
        <v>正面</v>
      </c>
      <c r="K11" s="32">
        <f t="shared" si="1"/>
        <v>1</v>
      </c>
      <c r="L11" s="32">
        <v>2</v>
      </c>
      <c r="M11" s="32">
        <f t="shared" si="2"/>
        <v>1</v>
      </c>
      <c r="N11" s="32">
        <f t="shared" si="3"/>
        <v>0</v>
      </c>
      <c r="O11" s="32">
        <f t="shared" si="4"/>
        <v>0</v>
      </c>
      <c r="P11" s="33"/>
      <c r="Q11" s="33"/>
      <c r="R11" s="33"/>
      <c r="S11" s="33">
        <v>2.6</v>
      </c>
      <c r="T11" s="29" t="s">
        <v>601</v>
      </c>
    </row>
    <row r="12" spans="1:20" ht="26.65" customHeight="1" x14ac:dyDescent="0.25">
      <c r="A12" s="30">
        <f>IF('事件总表（增强版）'!A12="","",ROW()-1)</f>
        <v>11</v>
      </c>
      <c r="B12" s="29" t="str">
        <f>IF('事件总表（增强版）'!A12="","",'事件总表（增强版）'!A12)</f>
        <v>中国对6国单方面免签与A股旅游航空联动</v>
      </c>
      <c r="C12" s="29" t="str">
        <f>IF('事件总表（增强版）'!B12="","",'事件总表（增强版）'!B12)</f>
        <v>宏观/地缘</v>
      </c>
      <c r="D12" s="31" t="str">
        <f>IF('事件总表（增强版）'!C12="","",'事件总表（增强版）'!C12)</f>
        <v>2023-11-24</v>
      </c>
      <c r="E12" s="32">
        <f>IF('事件总表（增强版）'!D12="","",'事件总表（增强版）'!D12)</f>
        <v>-1</v>
      </c>
      <c r="F12" s="32">
        <f>IF('事件总表（增强版）'!E12="","",'事件总表（增强版）'!E12)</f>
        <v>3</v>
      </c>
      <c r="G12" s="32">
        <f>IF('事件总表（增强版）'!A12="","",F12-E12+1)</f>
        <v>5</v>
      </c>
      <c r="H12" s="29" t="str">
        <f>IF('事件总表（增强版）'!F12="","",'事件总表（增强版）'!F12)</f>
        <v>低</v>
      </c>
      <c r="I12" s="32">
        <f t="shared" si="0"/>
        <v>1</v>
      </c>
      <c r="J12" s="32" t="str">
        <f>IF('事件总表（增强版）'!G12="","",'事件总表（增强版）'!G12)</f>
        <v>正面</v>
      </c>
      <c r="K12" s="32">
        <f t="shared" si="1"/>
        <v>1</v>
      </c>
      <c r="L12" s="32">
        <v>1</v>
      </c>
      <c r="M12" s="32">
        <f t="shared" si="2"/>
        <v>1</v>
      </c>
      <c r="N12" s="32">
        <f t="shared" si="3"/>
        <v>0</v>
      </c>
      <c r="O12" s="32">
        <f t="shared" si="4"/>
        <v>0</v>
      </c>
      <c r="P12" s="33"/>
      <c r="Q12" s="33"/>
      <c r="R12" s="33"/>
      <c r="S12" s="33">
        <v>1.5</v>
      </c>
      <c r="T12" s="29" t="s">
        <v>601</v>
      </c>
    </row>
    <row r="13" spans="1:20" ht="26.65" customHeight="1" x14ac:dyDescent="0.25">
      <c r="A13" s="30">
        <f>IF('事件总表（增强版）'!A13="","",ROW()-1)</f>
        <v>12</v>
      </c>
      <c r="B13" s="29" t="str">
        <f>IF('事件总表（增强版）'!A13="","",'事件总表（增强版）'!A13)</f>
        <v>欧盟对华电动车反补贴调查与A股汽车出海联动</v>
      </c>
      <c r="C13" s="29" t="str">
        <f>IF('事件总表（增强版）'!B13="","",'事件总表（增强版）'!B13)</f>
        <v>宏观/地缘</v>
      </c>
      <c r="D13" s="31" t="str">
        <f>IF('事件总表（增强版）'!C13="","",'事件总表（增强版）'!C13)</f>
        <v>2023-10-04</v>
      </c>
      <c r="E13" s="32">
        <f>IF('事件总表（增强版）'!D13="","",'事件总表（增强版）'!D13)</f>
        <v>-1</v>
      </c>
      <c r="F13" s="32">
        <f>IF('事件总表（增强版）'!E13="","",'事件总表（增强版）'!E13)</f>
        <v>3</v>
      </c>
      <c r="G13" s="32">
        <f>IF('事件总表（增强版）'!A13="","",F13-E13+1)</f>
        <v>5</v>
      </c>
      <c r="H13" s="29" t="str">
        <f>IF('事件总表（增强版）'!F13="","",'事件总表（增强版）'!F13)</f>
        <v>低</v>
      </c>
      <c r="I13" s="32">
        <f t="shared" si="0"/>
        <v>1</v>
      </c>
      <c r="J13" s="32" t="str">
        <f>IF('事件总表（增强版）'!G13="","",'事件总表（增强版）'!G13)</f>
        <v>负面</v>
      </c>
      <c r="K13" s="32">
        <f t="shared" si="1"/>
        <v>-1</v>
      </c>
      <c r="L13" s="32">
        <v>-1</v>
      </c>
      <c r="M13" s="32">
        <f t="shared" si="2"/>
        <v>1</v>
      </c>
      <c r="N13" s="32">
        <f t="shared" si="3"/>
        <v>0</v>
      </c>
      <c r="O13" s="32">
        <f t="shared" si="4"/>
        <v>0</v>
      </c>
      <c r="P13" s="33"/>
      <c r="Q13" s="33"/>
      <c r="R13" s="33"/>
      <c r="S13" s="33">
        <v>-2.2000000000000002</v>
      </c>
      <c r="T13" s="29" t="s">
        <v>601</v>
      </c>
    </row>
    <row r="14" spans="1:20" ht="26.65" customHeight="1" x14ac:dyDescent="0.25">
      <c r="A14" s="30">
        <f>IF('事件总表（增强版）'!A14="","",ROW()-1)</f>
        <v>13</v>
      </c>
      <c r="B14" s="29" t="str">
        <f>IF('事件总表（增强版）'!A14="","",'事件总表（增强版）'!A14)</f>
        <v>新国九条发布与A股红利中字头联动</v>
      </c>
      <c r="C14" s="29" t="str">
        <f>IF('事件总表（增强版）'!B14="","",'事件总表（增强版）'!B14)</f>
        <v>宏观/地缘</v>
      </c>
      <c r="D14" s="31" t="str">
        <f>IF('事件总表（增强版）'!C14="","",'事件总表（增强版）'!C14)</f>
        <v>2024-04-12</v>
      </c>
      <c r="E14" s="32">
        <f>IF('事件总表（增强版）'!D14="","",'事件总表（增强版）'!D14)</f>
        <v>-1</v>
      </c>
      <c r="F14" s="32">
        <f>IF('事件总表（增强版）'!E14="","",'事件总表（增强版）'!E14)</f>
        <v>3</v>
      </c>
      <c r="G14" s="32">
        <f>IF('事件总表（增强版）'!A14="","",F14-E14+1)</f>
        <v>5</v>
      </c>
      <c r="H14" s="29" t="str">
        <f>IF('事件总表（增强版）'!F14="","",'事件总表（增强版）'!F14)</f>
        <v>中</v>
      </c>
      <c r="I14" s="32">
        <f t="shared" si="0"/>
        <v>2</v>
      </c>
      <c r="J14" s="32" t="str">
        <f>IF('事件总表（增强版）'!G14="","",'事件总表（增强版）'!G14)</f>
        <v>负面</v>
      </c>
      <c r="K14" s="32">
        <f t="shared" si="1"/>
        <v>-1</v>
      </c>
      <c r="L14" s="32">
        <v>-2</v>
      </c>
      <c r="M14" s="32">
        <f t="shared" si="2"/>
        <v>1</v>
      </c>
      <c r="N14" s="32">
        <f t="shared" si="3"/>
        <v>0</v>
      </c>
      <c r="O14" s="32">
        <f t="shared" si="4"/>
        <v>0</v>
      </c>
      <c r="P14" s="33"/>
      <c r="Q14" s="33"/>
      <c r="R14" s="33"/>
      <c r="S14" s="33">
        <v>-3.5</v>
      </c>
      <c r="T14" s="29" t="s">
        <v>601</v>
      </c>
    </row>
    <row r="15" spans="1:20" ht="26.65" customHeight="1" x14ac:dyDescent="0.25">
      <c r="A15" s="30">
        <f>IF('事件总表（增强版）'!A15="","",ROW()-1)</f>
        <v>14</v>
      </c>
      <c r="B15" s="29" t="str">
        <f>IF('事件总表（增强版）'!A15="","",'事件总表（增强版）'!A15)</f>
        <v>房地产517新政与A股地产板块联动</v>
      </c>
      <c r="C15" s="29" t="str">
        <f>IF('事件总表（增强版）'!B15="","",'事件总表（增强版）'!B15)</f>
        <v>宏观/地缘</v>
      </c>
      <c r="D15" s="31" t="str">
        <f>IF('事件总表（增强版）'!C15="","",'事件总表（增强版）'!C15)</f>
        <v>2024-05-17</v>
      </c>
      <c r="E15" s="32">
        <f>IF('事件总表（增强版）'!D15="","",'事件总表（增强版）'!D15)</f>
        <v>-1</v>
      </c>
      <c r="F15" s="32">
        <f>IF('事件总表（增强版）'!E15="","",'事件总表（增强版）'!E15)</f>
        <v>3</v>
      </c>
      <c r="G15" s="32">
        <f>IF('事件总表（增强版）'!A15="","",F15-E15+1)</f>
        <v>5</v>
      </c>
      <c r="H15" s="29" t="str">
        <f>IF('事件总表（增强版）'!F15="","",'事件总表（增强版）'!F15)</f>
        <v>高</v>
      </c>
      <c r="I15" s="32">
        <f t="shared" si="0"/>
        <v>3</v>
      </c>
      <c r="J15" s="32" t="str">
        <f>IF('事件总表（增强版）'!G15="","",'事件总表（增强版）'!G15)</f>
        <v>正面</v>
      </c>
      <c r="K15" s="32">
        <f t="shared" si="1"/>
        <v>1</v>
      </c>
      <c r="L15" s="32">
        <v>3</v>
      </c>
      <c r="M15" s="32">
        <f t="shared" si="2"/>
        <v>1</v>
      </c>
      <c r="N15" s="32">
        <f t="shared" si="3"/>
        <v>0</v>
      </c>
      <c r="O15" s="32">
        <f t="shared" si="4"/>
        <v>0</v>
      </c>
      <c r="P15" s="33"/>
      <c r="Q15" s="33"/>
      <c r="R15" s="33"/>
      <c r="S15" s="33">
        <v>7.5</v>
      </c>
      <c r="T15" s="29" t="s">
        <v>601</v>
      </c>
    </row>
    <row r="16" spans="1:20" ht="26.65" customHeight="1" x14ac:dyDescent="0.25">
      <c r="A16" s="30">
        <f>IF('事件总表（增强版）'!A16="","",ROW()-1)</f>
        <v>15</v>
      </c>
      <c r="B16" s="29" t="str">
        <f>IF('事件总表（增强版）'!A16="","",'事件总表（增强版）'!A16)</f>
        <v>央行MLF降息落空与A股大金融抗跌联动</v>
      </c>
      <c r="C16" s="29" t="str">
        <f>IF('事件总表（增强版）'!B16="","",'事件总表（增强版）'!B16)</f>
        <v>宏观/地缘</v>
      </c>
      <c r="D16" s="31" t="str">
        <f>IF('事件总表（增强版）'!C16="","",'事件总表（增强版）'!C16)</f>
        <v>2024-01-15</v>
      </c>
      <c r="E16" s="32">
        <f>IF('事件总表（增强版）'!D16="","",'事件总表（增强版）'!D16)</f>
        <v>-1</v>
      </c>
      <c r="F16" s="32">
        <f>IF('事件总表（增强版）'!E16="","",'事件总表（增强版）'!E16)</f>
        <v>3</v>
      </c>
      <c r="G16" s="32">
        <f>IF('事件总表（增强版）'!A16="","",F16-E16+1)</f>
        <v>5</v>
      </c>
      <c r="H16" s="29" t="str">
        <f>IF('事件总表（增强版）'!F16="","",'事件总表（增强版）'!F16)</f>
        <v>低</v>
      </c>
      <c r="I16" s="32">
        <f t="shared" si="0"/>
        <v>1</v>
      </c>
      <c r="J16" s="32" t="str">
        <f>IF('事件总表（增强版）'!G16="","",'事件总表（增强版）'!G16)</f>
        <v>双向</v>
      </c>
      <c r="K16" s="32">
        <f t="shared" si="1"/>
        <v>0</v>
      </c>
      <c r="L16" s="32">
        <v>0</v>
      </c>
      <c r="M16" s="32">
        <f t="shared" si="2"/>
        <v>1</v>
      </c>
      <c r="N16" s="32">
        <f t="shared" si="3"/>
        <v>0</v>
      </c>
      <c r="O16" s="32">
        <f t="shared" si="4"/>
        <v>0</v>
      </c>
      <c r="P16" s="33"/>
      <c r="Q16" s="33"/>
      <c r="R16" s="33"/>
      <c r="S16" s="33">
        <v>0.6</v>
      </c>
      <c r="T16" s="29" t="s">
        <v>601</v>
      </c>
    </row>
    <row r="17" spans="1:20" ht="26.65" customHeight="1" x14ac:dyDescent="0.25">
      <c r="A17" s="30">
        <f>IF('事件总表（增强版）'!A17="","",ROW()-1)</f>
        <v>16</v>
      </c>
      <c r="B17" s="29" t="str">
        <f>IF('事件总表（增强版）'!A17="","",'事件总表（增强版）'!A17)</f>
        <v>生物安全法案风波与A股CXO杀跌</v>
      </c>
      <c r="C17" s="29" t="str">
        <f>IF('事件总表（增强版）'!B17="","",'事件总表（增强版）'!B17)</f>
        <v>宏观/地缘</v>
      </c>
      <c r="D17" s="31" t="str">
        <f>IF('事件总表（增强版）'!C17="","",'事件总表（增强版）'!C17)</f>
        <v>2024-03-14</v>
      </c>
      <c r="E17" s="32">
        <f>IF('事件总表（增强版）'!D17="","",'事件总表（增强版）'!D17)</f>
        <v>-1</v>
      </c>
      <c r="F17" s="32">
        <f>IF('事件总表（增强版）'!E17="","",'事件总表（增强版）'!E17)</f>
        <v>3</v>
      </c>
      <c r="G17" s="32">
        <f>IF('事件总表（增强版）'!A17="","",F17-E17+1)</f>
        <v>5</v>
      </c>
      <c r="H17" s="29" t="str">
        <f>IF('事件总表（增强版）'!F17="","",'事件总表（增强版）'!F17)</f>
        <v>低</v>
      </c>
      <c r="I17" s="32">
        <f t="shared" si="0"/>
        <v>1</v>
      </c>
      <c r="J17" s="32" t="str">
        <f>IF('事件总表（增强版）'!G17="","",'事件总表（增强版）'!G17)</f>
        <v>负面</v>
      </c>
      <c r="K17" s="32">
        <f t="shared" si="1"/>
        <v>-1</v>
      </c>
      <c r="L17" s="32">
        <v>-1</v>
      </c>
      <c r="M17" s="32">
        <f t="shared" si="2"/>
        <v>1</v>
      </c>
      <c r="N17" s="32">
        <f t="shared" si="3"/>
        <v>0</v>
      </c>
      <c r="O17" s="32">
        <f t="shared" si="4"/>
        <v>0</v>
      </c>
      <c r="P17" s="33"/>
      <c r="Q17" s="33"/>
      <c r="R17" s="33"/>
      <c r="S17" s="33">
        <v>-4.2</v>
      </c>
      <c r="T17" s="29" t="s">
        <v>601</v>
      </c>
    </row>
    <row r="18" spans="1:20" ht="26.65" customHeight="1" x14ac:dyDescent="0.25">
      <c r="A18" s="30">
        <f>IF('事件总表（增强版）'!A18="","",ROW()-1)</f>
        <v>17</v>
      </c>
      <c r="B18" s="29" t="str">
        <f>IF('事件总表（增强版）'!A18="","",'事件总表（增强版）'!A18)</f>
        <v>美加征电动车100%关税与A股头部车企联动</v>
      </c>
      <c r="C18" s="29" t="str">
        <f>IF('事件总表（增强版）'!B18="","",'事件总表（增强版）'!B18)</f>
        <v>宏观/地缘</v>
      </c>
      <c r="D18" s="31" t="str">
        <f>IF('事件总表（增强版）'!C18="","",'事件总表（增强版）'!C18)</f>
        <v>2024-05-14</v>
      </c>
      <c r="E18" s="32">
        <f>IF('事件总表（增强版）'!D18="","",'事件总表（增强版）'!D18)</f>
        <v>-1</v>
      </c>
      <c r="F18" s="32">
        <f>IF('事件总表（增强版）'!E18="","",'事件总表（增强版）'!E18)</f>
        <v>3</v>
      </c>
      <c r="G18" s="32">
        <f>IF('事件总表（增强版）'!A18="","",F18-E18+1)</f>
        <v>5</v>
      </c>
      <c r="H18" s="29" t="str">
        <f>IF('事件总表（增强版）'!F18="","",'事件总表（增强版）'!F18)</f>
        <v>低</v>
      </c>
      <c r="I18" s="32">
        <f t="shared" si="0"/>
        <v>1</v>
      </c>
      <c r="J18" s="32" t="str">
        <f>IF('事件总表（增强版）'!G18="","",'事件总表（增强版）'!G18)</f>
        <v>正面</v>
      </c>
      <c r="K18" s="32">
        <f t="shared" si="1"/>
        <v>1</v>
      </c>
      <c r="L18" s="32">
        <v>1</v>
      </c>
      <c r="M18" s="32">
        <f t="shared" si="2"/>
        <v>1</v>
      </c>
      <c r="N18" s="32">
        <f t="shared" si="3"/>
        <v>0</v>
      </c>
      <c r="O18" s="32">
        <f t="shared" si="4"/>
        <v>0</v>
      </c>
      <c r="P18" s="33"/>
      <c r="Q18" s="33"/>
      <c r="R18" s="33"/>
      <c r="S18" s="33">
        <v>0.8</v>
      </c>
      <c r="T18" s="29" t="s">
        <v>601</v>
      </c>
    </row>
    <row r="19" spans="1:20" ht="26.65" customHeight="1" x14ac:dyDescent="0.25">
      <c r="A19" s="30">
        <f>IF('事件总表（增强版）'!A19="","",ROW()-1)</f>
        <v>18</v>
      </c>
      <c r="B19" s="29" t="str">
        <f>IF('事件总表（增强版）'!A19="","",'事件总表（增强版）'!A19)</f>
        <v>巴拿马运河极端干旱与A股航运板块联动</v>
      </c>
      <c r="C19" s="29" t="str">
        <f>IF('事件总表（增强版）'!B19="","",'事件总表（增强版）'!B19)</f>
        <v>宏观/地缘</v>
      </c>
      <c r="D19" s="31" t="str">
        <f>IF('事件总表（增强版）'!C19="","",'事件总表（增强版）'!C19)</f>
        <v>2023-11-03</v>
      </c>
      <c r="E19" s="32">
        <f>IF('事件总表（增强版）'!D19="","",'事件总表（增强版）'!D19)</f>
        <v>-1</v>
      </c>
      <c r="F19" s="32">
        <f>IF('事件总表（增强版）'!E19="","",'事件总表（增强版）'!E19)</f>
        <v>3</v>
      </c>
      <c r="G19" s="32">
        <f>IF('事件总表（增强版）'!A19="","",F19-E19+1)</f>
        <v>5</v>
      </c>
      <c r="H19" s="29" t="str">
        <f>IF('事件总表（增强版）'!F19="","",'事件总表（增强版）'!F19)</f>
        <v>中</v>
      </c>
      <c r="I19" s="32">
        <f t="shared" si="0"/>
        <v>2</v>
      </c>
      <c r="J19" s="32" t="str">
        <f>IF('事件总表（增强版）'!G19="","",'事件总表（增强版）'!G19)</f>
        <v>正面</v>
      </c>
      <c r="K19" s="32">
        <f t="shared" si="1"/>
        <v>1</v>
      </c>
      <c r="L19" s="32">
        <v>2</v>
      </c>
      <c r="M19" s="32">
        <f t="shared" si="2"/>
        <v>1</v>
      </c>
      <c r="N19" s="32">
        <f t="shared" si="3"/>
        <v>0</v>
      </c>
      <c r="O19" s="32">
        <f t="shared" si="4"/>
        <v>0</v>
      </c>
      <c r="P19" s="33"/>
      <c r="Q19" s="33"/>
      <c r="R19" s="33"/>
      <c r="S19" s="33">
        <v>3.1</v>
      </c>
      <c r="T19" s="29" t="s">
        <v>601</v>
      </c>
    </row>
    <row r="20" spans="1:20" ht="26.65" customHeight="1" x14ac:dyDescent="0.25">
      <c r="A20" s="30">
        <f>IF('事件总表（增强版）'!A20="","",ROW()-1)</f>
        <v>19</v>
      </c>
      <c r="B20" s="29" t="str">
        <f>IF('事件总表（增强版）'!A20="","",'事件总表（增强版）'!A20)</f>
        <v>联合利剑-2024A军演与A股军工板块联动</v>
      </c>
      <c r="C20" s="29" t="str">
        <f>IF('事件总表（增强版）'!B20="","",'事件总表（增强版）'!B20)</f>
        <v>宏观/地缘</v>
      </c>
      <c r="D20" s="31" t="str">
        <f>IF('事件总表（增强版）'!C20="","",'事件总表（增强版）'!C20)</f>
        <v>2024-05-23</v>
      </c>
      <c r="E20" s="32">
        <f>IF('事件总表（增强版）'!D20="","",'事件总表（增强版）'!D20)</f>
        <v>-1</v>
      </c>
      <c r="F20" s="32">
        <f>IF('事件总表（增强版）'!E20="","",'事件总表（增强版）'!E20)</f>
        <v>3</v>
      </c>
      <c r="G20" s="32">
        <f>IF('事件总表（增强版）'!A20="","",F20-E20+1)</f>
        <v>5</v>
      </c>
      <c r="H20" s="29" t="str">
        <f>IF('事件总表（增强版）'!F20="","",'事件总表（增强版）'!F20)</f>
        <v>中</v>
      </c>
      <c r="I20" s="32">
        <f t="shared" si="0"/>
        <v>2</v>
      </c>
      <c r="J20" s="32" t="str">
        <f>IF('事件总表（增强版）'!G20="","",'事件总表（增强版）'!G20)</f>
        <v>正面</v>
      </c>
      <c r="K20" s="32">
        <f t="shared" si="1"/>
        <v>1</v>
      </c>
      <c r="L20" s="32">
        <v>2</v>
      </c>
      <c r="M20" s="32">
        <f t="shared" si="2"/>
        <v>1</v>
      </c>
      <c r="N20" s="32">
        <f t="shared" si="3"/>
        <v>0</v>
      </c>
      <c r="O20" s="32">
        <f t="shared" si="4"/>
        <v>0</v>
      </c>
      <c r="P20" s="33"/>
      <c r="Q20" s="33"/>
      <c r="R20" s="33"/>
      <c r="S20" s="33">
        <v>2.7</v>
      </c>
      <c r="T20" s="29" t="s">
        <v>601</v>
      </c>
    </row>
    <row r="21" spans="1:20" ht="26.65" customHeight="1" x14ac:dyDescent="0.25">
      <c r="A21" s="30">
        <f>IF('事件总表（增强版）'!A21="","",ROW()-1)</f>
        <v>20</v>
      </c>
      <c r="B21" s="29" t="str">
        <f>IF('事件总表（增强版）'!A21="","",'事件总表（增强版）'!A21)</f>
        <v>大规模设备更新政策落地与A股制造板块联动</v>
      </c>
      <c r="C21" s="29" t="str">
        <f>IF('事件总表（增强版）'!B21="","",'事件总表（增强版）'!B21)</f>
        <v>宏观/地缘</v>
      </c>
      <c r="D21" s="31" t="str">
        <f>IF('事件总表（增强版）'!C21="","",'事件总表（增强版）'!C21)</f>
        <v>2024-04-11</v>
      </c>
      <c r="E21" s="32">
        <f>IF('事件总表（增强版）'!D21="","",'事件总表（增强版）'!D21)</f>
        <v>-1</v>
      </c>
      <c r="F21" s="32">
        <f>IF('事件总表（增强版）'!E21="","",'事件总表（增强版）'!E21)</f>
        <v>3</v>
      </c>
      <c r="G21" s="32">
        <f>IF('事件总表（增强版）'!A21="","",F21-E21+1)</f>
        <v>5</v>
      </c>
      <c r="H21" s="29" t="str">
        <f>IF('事件总表（增强版）'!F21="","",'事件总表（增强版）'!F21)</f>
        <v>中</v>
      </c>
      <c r="I21" s="32">
        <f t="shared" si="0"/>
        <v>2</v>
      </c>
      <c r="J21" s="32" t="str">
        <f>IF('事件总表（增强版）'!G21="","",'事件总表（增强版）'!G21)</f>
        <v>正面</v>
      </c>
      <c r="K21" s="32">
        <f t="shared" si="1"/>
        <v>1</v>
      </c>
      <c r="L21" s="32">
        <v>2</v>
      </c>
      <c r="M21" s="32">
        <f t="shared" si="2"/>
        <v>1</v>
      </c>
      <c r="N21" s="32">
        <f t="shared" si="3"/>
        <v>0</v>
      </c>
      <c r="O21" s="32">
        <f t="shared" si="4"/>
        <v>0</v>
      </c>
      <c r="P21" s="33"/>
      <c r="Q21" s="33"/>
      <c r="R21" s="33"/>
      <c r="S21" s="33">
        <v>4</v>
      </c>
      <c r="T21" s="29" t="s">
        <v>601</v>
      </c>
    </row>
    <row r="22" spans="1:20" ht="26.65" customHeight="1" x14ac:dyDescent="0.25">
      <c r="A22" s="30">
        <f>IF('事件总表（增强版）'!A22="","",ROW()-1)</f>
        <v>21</v>
      </c>
      <c r="B22" s="29" t="str">
        <f>IF('事件总表（增强版）'!A22="","",'事件总表（增强版）'!A22)</f>
        <v>美国芯片出口管制与A股半导体设备联动</v>
      </c>
      <c r="C22" s="29" t="str">
        <f>IF('事件总表（增强版）'!B22="","",'事件总表（增强版）'!B22)</f>
        <v>宏观/地缘</v>
      </c>
      <c r="D22" s="31" t="str">
        <f>IF('事件总表（增强版）'!C22="","",'事件总表（增强版）'!C22)</f>
        <v>2023-10-17</v>
      </c>
      <c r="E22" s="32">
        <f>IF('事件总表（增强版）'!D22="","",'事件总表（增强版）'!D22)</f>
        <v>-1</v>
      </c>
      <c r="F22" s="32">
        <f>IF('事件总表（增强版）'!E22="","",'事件总表（增强版）'!E22)</f>
        <v>3</v>
      </c>
      <c r="G22" s="32">
        <f>IF('事件总表（增强版）'!A22="","",F22-E22+1)</f>
        <v>5</v>
      </c>
      <c r="H22" s="29" t="str">
        <f>IF('事件总表（增强版）'!F22="","",'事件总表（增强版）'!F22)</f>
        <v>中</v>
      </c>
      <c r="I22" s="32">
        <f t="shared" si="0"/>
        <v>2</v>
      </c>
      <c r="J22" s="32" t="str">
        <f>IF('事件总表（增强版）'!G22="","",'事件总表（增强版）'!G22)</f>
        <v>正面</v>
      </c>
      <c r="K22" s="32">
        <f t="shared" si="1"/>
        <v>1</v>
      </c>
      <c r="L22" s="32">
        <v>2</v>
      </c>
      <c r="M22" s="32">
        <f t="shared" si="2"/>
        <v>1</v>
      </c>
      <c r="N22" s="32">
        <f t="shared" si="3"/>
        <v>0</v>
      </c>
      <c r="O22" s="32">
        <f t="shared" si="4"/>
        <v>0</v>
      </c>
      <c r="P22" s="33"/>
      <c r="Q22" s="33"/>
      <c r="R22" s="33"/>
      <c r="S22" s="33">
        <v>3.6</v>
      </c>
      <c r="T22" s="29" t="s">
        <v>601</v>
      </c>
    </row>
    <row r="23" spans="1:20" ht="26.65" customHeight="1" x14ac:dyDescent="0.25">
      <c r="A23" s="30">
        <f>IF('事件总表（增强版）'!A23="","",ROW()-1)</f>
        <v>22</v>
      </c>
      <c r="B23" s="29" t="str">
        <f>IF('事件总表（增强版）'!A23="","",'事件总表（增强版）'!A23)</f>
        <v>OPEC+减产延期与A股油气板块联动</v>
      </c>
      <c r="C23" s="29" t="str">
        <f>IF('事件总表（增强版）'!B23="","",'事件总表（增强版）'!B23)</f>
        <v>宏观/地缘</v>
      </c>
      <c r="D23" s="31" t="str">
        <f>IF('事件总表（增强版）'!C23="","",'事件总表（增强版）'!C23)</f>
        <v>2023-11-30</v>
      </c>
      <c r="E23" s="32">
        <f>IF('事件总表（增强版）'!D23="","",'事件总表（增强版）'!D23)</f>
        <v>-1</v>
      </c>
      <c r="F23" s="32">
        <f>IF('事件总表（增强版）'!E23="","",'事件总表（增强版）'!E23)</f>
        <v>3</v>
      </c>
      <c r="G23" s="32">
        <f>IF('事件总表（增强版）'!A23="","",F23-E23+1)</f>
        <v>5</v>
      </c>
      <c r="H23" s="29" t="str">
        <f>IF('事件总表（增强版）'!F23="","",'事件总表（增强版）'!F23)</f>
        <v>低</v>
      </c>
      <c r="I23" s="32">
        <f t="shared" si="0"/>
        <v>1</v>
      </c>
      <c r="J23" s="32" t="str">
        <f>IF('事件总表（增强版）'!G23="","",'事件总表（增强版）'!G23)</f>
        <v>正面</v>
      </c>
      <c r="K23" s="32">
        <f t="shared" si="1"/>
        <v>1</v>
      </c>
      <c r="L23" s="32">
        <v>1</v>
      </c>
      <c r="M23" s="32">
        <f t="shared" si="2"/>
        <v>1</v>
      </c>
      <c r="N23" s="32">
        <f t="shared" si="3"/>
        <v>0</v>
      </c>
      <c r="O23" s="32">
        <f t="shared" si="4"/>
        <v>0</v>
      </c>
      <c r="P23" s="33"/>
      <c r="Q23" s="33"/>
      <c r="R23" s="33"/>
      <c r="S23" s="33">
        <v>1.2</v>
      </c>
      <c r="T23" s="29" t="s">
        <v>601</v>
      </c>
    </row>
    <row r="24" spans="1:20" ht="26.65" customHeight="1" x14ac:dyDescent="0.25">
      <c r="A24" s="30">
        <f>IF('事件总表（增强版）'!A24="","",ROW()-1)</f>
        <v>23</v>
      </c>
      <c r="B24" s="29" t="str">
        <f>IF('事件总表（增强版）'!A24="","",'事件总表（增强版）'!A24)</f>
        <v>美联储降息50BP与A股核心资产联动</v>
      </c>
      <c r="C24" s="29" t="str">
        <f>IF('事件总表（增强版）'!B24="","",'事件总表（增强版）'!B24)</f>
        <v>宏观/地缘</v>
      </c>
      <c r="D24" s="31" t="str">
        <f>IF('事件总表（增强版）'!C24="","",'事件总表（增强版）'!C24)</f>
        <v>2024-09-18</v>
      </c>
      <c r="E24" s="32">
        <f>IF('事件总表（增强版）'!D24="","",'事件总表（增强版）'!D24)</f>
        <v>-1</v>
      </c>
      <c r="F24" s="32">
        <f>IF('事件总表（增强版）'!E24="","",'事件总表（增强版）'!E24)</f>
        <v>3</v>
      </c>
      <c r="G24" s="32">
        <f>IF('事件总表（增强版）'!A24="","",F24-E24+1)</f>
        <v>5</v>
      </c>
      <c r="H24" s="29" t="str">
        <f>IF('事件总表（增强版）'!F24="","",'事件总表（增强版）'!F24)</f>
        <v>中</v>
      </c>
      <c r="I24" s="32">
        <f t="shared" si="0"/>
        <v>2</v>
      </c>
      <c r="J24" s="32" t="str">
        <f>IF('事件总表（增强版）'!G24="","",'事件总表（增强版）'!G24)</f>
        <v>正面</v>
      </c>
      <c r="K24" s="32">
        <f t="shared" si="1"/>
        <v>1</v>
      </c>
      <c r="L24" s="32">
        <v>2</v>
      </c>
      <c r="M24" s="32">
        <f t="shared" si="2"/>
        <v>1</v>
      </c>
      <c r="N24" s="32">
        <f t="shared" si="3"/>
        <v>0</v>
      </c>
      <c r="O24" s="32">
        <f t="shared" si="4"/>
        <v>0</v>
      </c>
      <c r="P24" s="33"/>
      <c r="Q24" s="33"/>
      <c r="R24" s="33"/>
      <c r="S24" s="33">
        <v>2.9</v>
      </c>
      <c r="T24" s="29" t="s">
        <v>601</v>
      </c>
    </row>
    <row r="25" spans="1:20" ht="26.65" customHeight="1" x14ac:dyDescent="0.25">
      <c r="A25" s="30">
        <f>IF('事件总表（增强版）'!A25="","",ROW()-1)</f>
        <v>24</v>
      </c>
      <c r="B25" s="29" t="str">
        <f>IF('事件总表（增强版）'!A25="","",'事件总表（增强版）'!A25)</f>
        <v>全球可可价格创历史新高与A股食品板块联动</v>
      </c>
      <c r="C25" s="29" t="str">
        <f>IF('事件总表（增强版）'!B25="","",'事件总表（增强版）'!B25)</f>
        <v>宏观/地缘</v>
      </c>
      <c r="D25" s="31" t="str">
        <f>IF('事件总表（增强版）'!C25="","",'事件总表（增强版）'!C25)</f>
        <v>2024-03-27</v>
      </c>
      <c r="E25" s="32">
        <f>IF('事件总表（增强版）'!D25="","",'事件总表（增强版）'!D25)</f>
        <v>-1</v>
      </c>
      <c r="F25" s="32">
        <f>IF('事件总表（增强版）'!E25="","",'事件总表（增强版）'!E25)</f>
        <v>3</v>
      </c>
      <c r="G25" s="32">
        <f>IF('事件总表（增强版）'!A25="","",F25-E25+1)</f>
        <v>5</v>
      </c>
      <c r="H25" s="29" t="str">
        <f>IF('事件总表（增强版）'!F25="","",'事件总表（增强版）'!F25)</f>
        <v>中</v>
      </c>
      <c r="I25" s="32">
        <f t="shared" si="0"/>
        <v>2</v>
      </c>
      <c r="J25" s="32" t="str">
        <f>IF('事件总表（增强版）'!G25="","",'事件总表（增强版）'!G25)</f>
        <v>正面</v>
      </c>
      <c r="K25" s="32">
        <f t="shared" si="1"/>
        <v>1</v>
      </c>
      <c r="L25" s="32">
        <v>2</v>
      </c>
      <c r="M25" s="32">
        <f t="shared" si="2"/>
        <v>1</v>
      </c>
      <c r="N25" s="32">
        <f t="shared" si="3"/>
        <v>0</v>
      </c>
      <c r="O25" s="32">
        <f t="shared" si="4"/>
        <v>0</v>
      </c>
      <c r="P25" s="33"/>
      <c r="Q25" s="33"/>
      <c r="R25" s="33"/>
      <c r="S25" s="33">
        <v>3.3</v>
      </c>
      <c r="T25" s="29" t="s">
        <v>601</v>
      </c>
    </row>
    <row r="26" spans="1:20" ht="26.65" customHeight="1" x14ac:dyDescent="0.25">
      <c r="A26" s="30">
        <f>IF('事件总表（增强版）'!A26="","",ROW()-1)</f>
        <v>25</v>
      </c>
      <c r="B26" s="29" t="str">
        <f>IF('事件总表（增强版）'!A26="","",'事件总表（增强版）'!A26)</f>
        <v>超长期国债加力支持设备更新与A股联动</v>
      </c>
      <c r="C26" s="29" t="str">
        <f>IF('事件总表（增强版）'!B26="","",'事件总表（增强版）'!B26)</f>
        <v>宏观/地缘</v>
      </c>
      <c r="D26" s="31" t="str">
        <f>IF('事件总表（增强版）'!C26="","",'事件总表（增强版）'!C26)</f>
        <v>2024-07-25</v>
      </c>
      <c r="E26" s="32">
        <f>IF('事件总表（增强版）'!D26="","",'事件总表（增强版）'!D26)</f>
        <v>-1</v>
      </c>
      <c r="F26" s="32">
        <f>IF('事件总表（增强版）'!E26="","",'事件总表（增强版）'!E26)</f>
        <v>3</v>
      </c>
      <c r="G26" s="32">
        <f>IF('事件总表（增强版）'!A26="","",F26-E26+1)</f>
        <v>5</v>
      </c>
      <c r="H26" s="29" t="str">
        <f>IF('事件总表（增强版）'!F26="","",'事件总表（增强版）'!F26)</f>
        <v>高</v>
      </c>
      <c r="I26" s="32">
        <f t="shared" si="0"/>
        <v>3</v>
      </c>
      <c r="J26" s="32" t="str">
        <f>IF('事件总表（增强版）'!G26="","",'事件总表（增强版）'!G26)</f>
        <v>正面</v>
      </c>
      <c r="K26" s="32">
        <f t="shared" si="1"/>
        <v>1</v>
      </c>
      <c r="L26" s="32">
        <v>3</v>
      </c>
      <c r="M26" s="32">
        <f t="shared" si="2"/>
        <v>1</v>
      </c>
      <c r="N26" s="32">
        <f t="shared" si="3"/>
        <v>0</v>
      </c>
      <c r="O26" s="32">
        <f t="shared" si="4"/>
        <v>0</v>
      </c>
      <c r="P26" s="33"/>
      <c r="Q26" s="33"/>
      <c r="R26" s="33"/>
      <c r="S26" s="33">
        <v>5.9</v>
      </c>
      <c r="T26" s="29" t="s">
        <v>601</v>
      </c>
    </row>
    <row r="27" spans="1:20" ht="26.65" customHeight="1" x14ac:dyDescent="0.25">
      <c r="A27" s="30">
        <f>IF('事件总表（增强版）'!A27="","",ROW()-1)</f>
        <v>26</v>
      </c>
      <c r="B27" s="29" t="str">
        <f>IF('事件总表（增强版）'!A27="","",'事件总表（增强版）'!A27)</f>
        <v>国轩高科全固态电池突破与A股固态电池板块联动</v>
      </c>
      <c r="C27" s="29" t="str">
        <f>IF('事件总表（增强版）'!B27="","",'事件总表（增强版）'!B27)</f>
        <v>行业/技术</v>
      </c>
      <c r="D27" s="31" t="str">
        <f>IF('事件总表（增强版）'!C27="","",'事件总表（增强版）'!C27)</f>
        <v>2025-05-17</v>
      </c>
      <c r="E27" s="32">
        <f>IF('事件总表（增强版）'!D27="","",'事件总表（增强版）'!D27)</f>
        <v>0</v>
      </c>
      <c r="F27" s="32">
        <f>IF('事件总表（增强版）'!E27="","",'事件总表（增强版）'!E27)</f>
        <v>3</v>
      </c>
      <c r="G27" s="32">
        <f>IF('事件总表（增强版）'!A27="","",F27-E27+1)</f>
        <v>4</v>
      </c>
      <c r="H27" s="29" t="str">
        <f>IF('事件总表（增强版）'!F27="","",'事件总表（增强版）'!F27)</f>
        <v>高</v>
      </c>
      <c r="I27" s="32">
        <f t="shared" si="0"/>
        <v>3</v>
      </c>
      <c r="J27" s="32" t="str">
        <f>IF('事件总表（增强版）'!G27="","",'事件总表（增强版）'!G27)</f>
        <v>正面</v>
      </c>
      <c r="K27" s="32">
        <f t="shared" si="1"/>
        <v>1</v>
      </c>
      <c r="L27" s="32">
        <v>3</v>
      </c>
      <c r="M27" s="32">
        <f t="shared" si="2"/>
        <v>0</v>
      </c>
      <c r="N27" s="32">
        <f t="shared" si="3"/>
        <v>1</v>
      </c>
      <c r="O27" s="32">
        <f t="shared" si="4"/>
        <v>0</v>
      </c>
      <c r="P27" s="33"/>
      <c r="Q27" s="33"/>
      <c r="R27" s="33"/>
      <c r="S27" s="33">
        <v>6.2</v>
      </c>
      <c r="T27" s="29" t="s">
        <v>601</v>
      </c>
    </row>
    <row r="28" spans="1:20" ht="26.65" customHeight="1" x14ac:dyDescent="0.25">
      <c r="A28" s="30">
        <f>IF('事件总表（增强版）'!A28="","",ROW()-1)</f>
        <v>27</v>
      </c>
      <c r="B28" s="29" t="str">
        <f>IF('事件总表（增强版）'!A28="","",'事件总表（增强版）'!A28)</f>
        <v>人形机器人商业化大单落地与A股机器人板块联动</v>
      </c>
      <c r="C28" s="29" t="str">
        <f>IF('事件总表（增强版）'!B28="","",'事件总表（增强版）'!B28)</f>
        <v>行业/技术</v>
      </c>
      <c r="D28" s="31" t="str">
        <f>IF('事件总表（增强版）'!C28="","",'事件总表（增强版）'!C28)</f>
        <v>2025-07-11</v>
      </c>
      <c r="E28" s="32">
        <f>IF('事件总表（增强版）'!D28="","",'事件总表（增强版）'!D28)</f>
        <v>0</v>
      </c>
      <c r="F28" s="32">
        <f>IF('事件总表（增强版）'!E28="","",'事件总表（增强版）'!E28)</f>
        <v>3</v>
      </c>
      <c r="G28" s="32">
        <f>IF('事件总表（增强版）'!A28="","",F28-E28+1)</f>
        <v>4</v>
      </c>
      <c r="H28" s="29" t="str">
        <f>IF('事件总表（增强版）'!F28="","",'事件总表（增强版）'!F28)</f>
        <v>低</v>
      </c>
      <c r="I28" s="32">
        <f t="shared" si="0"/>
        <v>1</v>
      </c>
      <c r="J28" s="32" t="str">
        <f>IF('事件总表（增强版）'!G28="","",'事件总表（增强版）'!G28)</f>
        <v>正面</v>
      </c>
      <c r="K28" s="32">
        <f t="shared" si="1"/>
        <v>1</v>
      </c>
      <c r="L28" s="32">
        <v>1</v>
      </c>
      <c r="M28" s="32">
        <f t="shared" si="2"/>
        <v>0</v>
      </c>
      <c r="N28" s="32">
        <f t="shared" si="3"/>
        <v>1</v>
      </c>
      <c r="O28" s="32">
        <f t="shared" si="4"/>
        <v>0</v>
      </c>
      <c r="P28" s="33"/>
      <c r="Q28" s="33"/>
      <c r="R28" s="33"/>
      <c r="S28" s="33">
        <v>4.5</v>
      </c>
      <c r="T28" s="29" t="s">
        <v>601</v>
      </c>
    </row>
    <row r="29" spans="1:20" ht="26.65" customHeight="1" x14ac:dyDescent="0.25">
      <c r="A29" s="30">
        <f>IF('事件总表（增强版）'!A29="","",ROW()-1)</f>
        <v>28</v>
      </c>
      <c r="B29" s="29" t="str">
        <f>IF('事件总表（增强版）'!A29="","",'事件总表（增强版）'!A29)</f>
        <v>凌空天行高超音速导弹发布与A股军工产业链联动</v>
      </c>
      <c r="C29" s="29" t="str">
        <f>IF('事件总表（增强版）'!B29="","",'事件总表（增强版）'!B29)</f>
        <v>行业/技术</v>
      </c>
      <c r="D29" s="31" t="str">
        <f>IF('事件总表（增强版）'!C29="","",'事件总表（增强版）'!C29)</f>
        <v>2025-11-25</v>
      </c>
      <c r="E29" s="32">
        <f>IF('事件总表（增强版）'!D29="","",'事件总表（增强版）'!D29)</f>
        <v>0</v>
      </c>
      <c r="F29" s="32">
        <f>IF('事件总表（增强版）'!E29="","",'事件总表（增强版）'!E29)</f>
        <v>3</v>
      </c>
      <c r="G29" s="32">
        <f>IF('事件总表（增强版）'!A29="","",F29-E29+1)</f>
        <v>4</v>
      </c>
      <c r="H29" s="29" t="str">
        <f>IF('事件总表（增强版）'!F29="","",'事件总表（增强版）'!F29)</f>
        <v>中</v>
      </c>
      <c r="I29" s="32">
        <f t="shared" si="0"/>
        <v>2</v>
      </c>
      <c r="J29" s="32" t="str">
        <f>IF('事件总表（增强版）'!G29="","",'事件总表（增强版）'!G29)</f>
        <v>正面</v>
      </c>
      <c r="K29" s="32">
        <f t="shared" si="1"/>
        <v>1</v>
      </c>
      <c r="L29" s="32">
        <v>2</v>
      </c>
      <c r="M29" s="32">
        <f t="shared" si="2"/>
        <v>0</v>
      </c>
      <c r="N29" s="32">
        <f t="shared" si="3"/>
        <v>1</v>
      </c>
      <c r="O29" s="32">
        <f t="shared" si="4"/>
        <v>0</v>
      </c>
      <c r="P29" s="33"/>
      <c r="Q29" s="33"/>
      <c r="R29" s="33"/>
      <c r="S29" s="33">
        <v>9.5</v>
      </c>
      <c r="T29" s="29" t="s">
        <v>601</v>
      </c>
    </row>
    <row r="30" spans="1:20" ht="26.65" customHeight="1" x14ac:dyDescent="0.25">
      <c r="A30" s="30">
        <f>IF('事件总表（增强版）'!A30="","",ROW()-1)</f>
        <v>29</v>
      </c>
      <c r="B30" s="29" t="str">
        <f>IF('事件总表（增强版）'!A30="","",'事件总表（增强版）'!A30)</f>
        <v>英伟达GB200芯片落地与A股光模块板块联动</v>
      </c>
      <c r="C30" s="29" t="str">
        <f>IF('事件总表（增强版）'!B30="","",'事件总表（增强版）'!B30)</f>
        <v>行业/技术</v>
      </c>
      <c r="D30" s="31" t="str">
        <f>IF('事件总表（增强版）'!C30="","",'事件总表（增强版）'!C30)</f>
        <v>2026-04-24</v>
      </c>
      <c r="E30" s="32">
        <f>IF('事件总表（增强版）'!D30="","",'事件总表（增强版）'!D30)</f>
        <v>0</v>
      </c>
      <c r="F30" s="32">
        <f>IF('事件总表（增强版）'!E30="","",'事件总表（增强版）'!E30)</f>
        <v>3</v>
      </c>
      <c r="G30" s="32">
        <f>IF('事件总表（增强版）'!A30="","",F30-E30+1)</f>
        <v>4</v>
      </c>
      <c r="H30" s="29" t="str">
        <f>IF('事件总表（增强版）'!F30="","",'事件总表（增强版）'!F30)</f>
        <v>低</v>
      </c>
      <c r="I30" s="32">
        <f t="shared" si="0"/>
        <v>1</v>
      </c>
      <c r="J30" s="32" t="str">
        <f>IF('事件总表（增强版）'!G30="","",'事件总表（增强版）'!G30)</f>
        <v>正面</v>
      </c>
      <c r="K30" s="32">
        <f t="shared" si="1"/>
        <v>1</v>
      </c>
      <c r="L30" s="32">
        <v>1</v>
      </c>
      <c r="M30" s="32">
        <f t="shared" si="2"/>
        <v>0</v>
      </c>
      <c r="N30" s="32">
        <f t="shared" si="3"/>
        <v>1</v>
      </c>
      <c r="O30" s="32">
        <f t="shared" si="4"/>
        <v>0</v>
      </c>
      <c r="P30" s="33"/>
      <c r="Q30" s="33"/>
      <c r="R30" s="33"/>
      <c r="S30" s="33">
        <v>4</v>
      </c>
      <c r="T30" s="29" t="s">
        <v>601</v>
      </c>
    </row>
    <row r="31" spans="1:20" ht="26.65" customHeight="1" x14ac:dyDescent="0.25">
      <c r="A31" s="30">
        <f>IF('事件总表（增强版）'!A31="","",ROW()-1)</f>
        <v>30</v>
      </c>
      <c r="B31" s="29" t="str">
        <f>IF('事件总表（增强版）'!A31="","",'事件总表（增强版）'!A31)</f>
        <v>全球船舶订单爆发与A股中船系板块联动</v>
      </c>
      <c r="C31" s="29" t="str">
        <f>IF('事件总表（增强版）'!B31="","",'事件总表（增强版）'!B31)</f>
        <v>行业/技术</v>
      </c>
      <c r="D31" s="31" t="str">
        <f>IF('事件总表（增强版）'!C31="","",'事件总表（增强版）'!C31)</f>
        <v>2025-04-09</v>
      </c>
      <c r="E31" s="32">
        <f>IF('事件总表（增强版）'!D31="","",'事件总表（增强版）'!D31)</f>
        <v>0</v>
      </c>
      <c r="F31" s="32">
        <f>IF('事件总表（增强版）'!E31="","",'事件总表（增强版）'!E31)</f>
        <v>3</v>
      </c>
      <c r="G31" s="32">
        <f>IF('事件总表（增强版）'!A31="","",F31-E31+1)</f>
        <v>4</v>
      </c>
      <c r="H31" s="29" t="str">
        <f>IF('事件总表（增强版）'!F31="","",'事件总表（增强版）'!F31)</f>
        <v>高</v>
      </c>
      <c r="I31" s="32">
        <f t="shared" si="0"/>
        <v>3</v>
      </c>
      <c r="J31" s="32" t="str">
        <f>IF('事件总表（增强版）'!G31="","",'事件总表（增强版）'!G31)</f>
        <v>正面</v>
      </c>
      <c r="K31" s="32">
        <f t="shared" si="1"/>
        <v>1</v>
      </c>
      <c r="L31" s="32">
        <v>3</v>
      </c>
      <c r="M31" s="32">
        <f t="shared" si="2"/>
        <v>0</v>
      </c>
      <c r="N31" s="32">
        <f t="shared" si="3"/>
        <v>1</v>
      </c>
      <c r="O31" s="32">
        <f t="shared" si="4"/>
        <v>0</v>
      </c>
      <c r="P31" s="33"/>
      <c r="Q31" s="33"/>
      <c r="R31" s="33"/>
      <c r="S31" s="33">
        <v>12</v>
      </c>
      <c r="T31" s="29" t="s">
        <v>601</v>
      </c>
    </row>
    <row r="32" spans="1:20" ht="26.65" customHeight="1" x14ac:dyDescent="0.25">
      <c r="A32" s="30">
        <f>IF('事件总表（增强版）'!A32="","",ROW()-1)</f>
        <v>31</v>
      </c>
      <c r="B32" s="29" t="str">
        <f>IF('事件总表（增强版）'!A32="","",'事件总表（增强版）'!A32)</f>
        <v>钛白粉行业集体涨价与A股钛白粉板块联动</v>
      </c>
      <c r="C32" s="29" t="str">
        <f>IF('事件总表（增强版）'!B32="","",'事件总表（增强版）'!B32)</f>
        <v>行业/技术</v>
      </c>
      <c r="D32" s="31" t="str">
        <f>IF('事件总表（增强版）'!C32="","",'事件总表（增强版）'!C32)</f>
        <v>2026-04-15</v>
      </c>
      <c r="E32" s="32">
        <f>IF('事件总表（增强版）'!D32="","",'事件总表（增强版）'!D32)</f>
        <v>0</v>
      </c>
      <c r="F32" s="32">
        <f>IF('事件总表（增强版）'!E32="","",'事件总表（增强版）'!E32)</f>
        <v>3</v>
      </c>
      <c r="G32" s="32">
        <f>IF('事件总表（增强版）'!A32="","",F32-E32+1)</f>
        <v>4</v>
      </c>
      <c r="H32" s="29" t="str">
        <f>IF('事件总表（增强版）'!F32="","",'事件总表（增强版）'!F32)</f>
        <v>中</v>
      </c>
      <c r="I32" s="32">
        <f t="shared" si="0"/>
        <v>2</v>
      </c>
      <c r="J32" s="32" t="str">
        <f>IF('事件总表（增强版）'!G32="","",'事件总表（增强版）'!G32)</f>
        <v>正面</v>
      </c>
      <c r="K32" s="32">
        <f t="shared" si="1"/>
        <v>1</v>
      </c>
      <c r="L32" s="32">
        <v>2</v>
      </c>
      <c r="M32" s="32">
        <f t="shared" si="2"/>
        <v>0</v>
      </c>
      <c r="N32" s="32">
        <f t="shared" si="3"/>
        <v>1</v>
      </c>
      <c r="O32" s="32">
        <f t="shared" si="4"/>
        <v>0</v>
      </c>
      <c r="P32" s="33"/>
      <c r="Q32" s="33"/>
      <c r="R32" s="33"/>
      <c r="S32" s="33">
        <v>2.5</v>
      </c>
      <c r="T32" s="29" t="s">
        <v>601</v>
      </c>
    </row>
    <row r="33" spans="1:20" ht="26.65" customHeight="1" x14ac:dyDescent="0.25">
      <c r="A33" s="30">
        <f>IF('事件总表（增强版）'!A33="","",ROW()-1)</f>
        <v>32</v>
      </c>
      <c r="B33" s="29" t="str">
        <f>IF('事件总表（增强版）'!A33="","",'事件总表（增强版）'!A33)</f>
        <v>光通信技术突破与A股光模块板块联动</v>
      </c>
      <c r="C33" s="29" t="str">
        <f>IF('事件总表（增强版）'!B33="","",'事件总表（增强版）'!B33)</f>
        <v>行业/技术</v>
      </c>
      <c r="D33" s="31" t="str">
        <f>IF('事件总表（增强版）'!C33="","",'事件总表（增强版）'!C33)</f>
        <v>2026-02-24</v>
      </c>
      <c r="E33" s="32">
        <f>IF('事件总表（增强版）'!D33="","",'事件总表（增强版）'!D33)</f>
        <v>0</v>
      </c>
      <c r="F33" s="32">
        <f>IF('事件总表（增强版）'!E33="","",'事件总表（增强版）'!E33)</f>
        <v>3</v>
      </c>
      <c r="G33" s="32">
        <f>IF('事件总表（增强版）'!A33="","",F33-E33+1)</f>
        <v>4</v>
      </c>
      <c r="H33" s="29" t="str">
        <f>IF('事件总表（增强版）'!F33="","",'事件总表（增强版）'!F33)</f>
        <v>中</v>
      </c>
      <c r="I33" s="32">
        <f t="shared" si="0"/>
        <v>2</v>
      </c>
      <c r="J33" s="32" t="str">
        <f>IF('事件总表（增强版）'!G33="","",'事件总表（增强版）'!G33)</f>
        <v>正面</v>
      </c>
      <c r="K33" s="32">
        <f t="shared" si="1"/>
        <v>1</v>
      </c>
      <c r="L33" s="32">
        <v>2</v>
      </c>
      <c r="M33" s="32">
        <f t="shared" si="2"/>
        <v>0</v>
      </c>
      <c r="N33" s="32">
        <f t="shared" si="3"/>
        <v>1</v>
      </c>
      <c r="O33" s="32">
        <f t="shared" si="4"/>
        <v>0</v>
      </c>
      <c r="P33" s="33"/>
      <c r="Q33" s="33"/>
      <c r="R33" s="33"/>
      <c r="S33" s="33">
        <v>5</v>
      </c>
      <c r="T33" s="29" t="s">
        <v>601</v>
      </c>
    </row>
    <row r="34" spans="1:20" ht="26.65" customHeight="1" x14ac:dyDescent="0.25">
      <c r="A34" s="30">
        <f>IF('事件总表（增强版）'!A34="","",ROW()-1)</f>
        <v>33</v>
      </c>
      <c r="B34" s="29" t="str">
        <f>IF('事件总表（增强版）'!A34="","",'事件总表（增强版）'!A34)</f>
        <v>商业航天可回收火箭密集试验与A股商业航天联动</v>
      </c>
      <c r="C34" s="29" t="str">
        <f>IF('事件总表（增强版）'!B34="","",'事件总表（增强版）'!B34)</f>
        <v>行业/技术</v>
      </c>
      <c r="D34" s="31" t="str">
        <f>IF('事件总表（增强版）'!C34="","",'事件总表（增强版）'!C34)</f>
        <v>2026-05-08</v>
      </c>
      <c r="E34" s="32">
        <f>IF('事件总表（增强版）'!D34="","",'事件总表（增强版）'!D34)</f>
        <v>0</v>
      </c>
      <c r="F34" s="32">
        <f>IF('事件总表（增强版）'!E34="","",'事件总表（增强版）'!E34)</f>
        <v>3</v>
      </c>
      <c r="G34" s="32">
        <f>IF('事件总表（增强版）'!A34="","",F34-E34+1)</f>
        <v>4</v>
      </c>
      <c r="H34" s="29" t="str">
        <f>IF('事件总表（增强版）'!F34="","",'事件总表（增强版）'!F34)</f>
        <v>高</v>
      </c>
      <c r="I34" s="32">
        <f t="shared" ref="I34:I65" si="5">IF(H34="高",3,IF(H34="中",2,IF(H34="低",1,"")))</f>
        <v>3</v>
      </c>
      <c r="J34" s="32" t="str">
        <f>IF('事件总表（增强版）'!G34="","",'事件总表（增强版）'!G34)</f>
        <v>正面</v>
      </c>
      <c r="K34" s="32">
        <f t="shared" ref="K34:K65" si="6">IF(J34="正面",1,IF(J34="负面",-1,IF(J34="双向",0,"")))</f>
        <v>1</v>
      </c>
      <c r="L34" s="32">
        <v>3</v>
      </c>
      <c r="M34" s="32">
        <f t="shared" ref="M34:M65" si="7">IF(C34="宏观/地缘",1,0)</f>
        <v>0</v>
      </c>
      <c r="N34" s="32">
        <f t="shared" ref="N34:N65" si="8">IF(C34="行业/技术",1,0)</f>
        <v>1</v>
      </c>
      <c r="O34" s="32">
        <f t="shared" ref="O34:O65" si="9">IF(C34="政策",1,0)</f>
        <v>0</v>
      </c>
      <c r="P34" s="33"/>
      <c r="Q34" s="33"/>
      <c r="R34" s="33"/>
      <c r="S34" s="33">
        <v>8.3000000000000007</v>
      </c>
      <c r="T34" s="29" t="s">
        <v>601</v>
      </c>
    </row>
    <row r="35" spans="1:20" ht="26.65" customHeight="1" x14ac:dyDescent="0.25">
      <c r="A35" s="30">
        <f>IF('事件总表（增强版）'!A35="","",ROW()-1)</f>
        <v>34</v>
      </c>
      <c r="B35" s="29" t="str">
        <f>IF('事件总表（增强版）'!A35="","",'事件总表（增强版）'!A35)</f>
        <v>比亚迪刀片电池迭代与A股锂电池板块联动</v>
      </c>
      <c r="C35" s="29" t="str">
        <f>IF('事件总表（增强版）'!B35="","",'事件总表（增强版）'!B35)</f>
        <v>行业/技术</v>
      </c>
      <c r="D35" s="31" t="str">
        <f>IF('事件总表（增强版）'!C35="","",'事件总表（增强版）'!C35)</f>
        <v>2026-03-10</v>
      </c>
      <c r="E35" s="32">
        <f>IF('事件总表（增强版）'!D35="","",'事件总表（增强版）'!D35)</f>
        <v>0</v>
      </c>
      <c r="F35" s="32">
        <f>IF('事件总表（增强版）'!E35="","",'事件总表（增强版）'!E35)</f>
        <v>3</v>
      </c>
      <c r="G35" s="32">
        <f>IF('事件总表（增强版）'!A35="","",F35-E35+1)</f>
        <v>4</v>
      </c>
      <c r="H35" s="29" t="str">
        <f>IF('事件总表（增强版）'!F35="","",'事件总表（增强版）'!F35)</f>
        <v>低</v>
      </c>
      <c r="I35" s="32">
        <f t="shared" si="5"/>
        <v>1</v>
      </c>
      <c r="J35" s="32" t="str">
        <f>IF('事件总表（增强版）'!G35="","",'事件总表（增强版）'!G35)</f>
        <v>正面</v>
      </c>
      <c r="K35" s="32">
        <f t="shared" si="6"/>
        <v>1</v>
      </c>
      <c r="L35" s="32">
        <v>1</v>
      </c>
      <c r="M35" s="32">
        <f t="shared" si="7"/>
        <v>0</v>
      </c>
      <c r="N35" s="32">
        <f t="shared" si="8"/>
        <v>1</v>
      </c>
      <c r="O35" s="32">
        <f t="shared" si="9"/>
        <v>0</v>
      </c>
      <c r="P35" s="33"/>
      <c r="Q35" s="33"/>
      <c r="R35" s="33"/>
      <c r="S35" s="33">
        <v>3.2</v>
      </c>
      <c r="T35" s="29" t="s">
        <v>601</v>
      </c>
    </row>
    <row r="36" spans="1:20" ht="26.65" customHeight="1" x14ac:dyDescent="0.25">
      <c r="A36" s="30">
        <f>IF('事件总表（增强版）'!A36="","",ROW()-1)</f>
        <v>35</v>
      </c>
      <c r="B36" s="29" t="str">
        <f>IF('事件总表（增强版）'!A36="","",'事件总表（增强版）'!A36)</f>
        <v>恒邦股份高纯砷量产与A股半导体材料板块联动</v>
      </c>
      <c r="C36" s="29" t="str">
        <f>IF('事件总表（增强版）'!B36="","",'事件总表（增强版）'!B36)</f>
        <v>行业/技术</v>
      </c>
      <c r="D36" s="31" t="str">
        <f>IF('事件总表（增强版）'!C36="","",'事件总表（增强版）'!C36)</f>
        <v>2026-01-15</v>
      </c>
      <c r="E36" s="32">
        <f>IF('事件总表（增强版）'!D36="","",'事件总表（增强版）'!D36)</f>
        <v>0</v>
      </c>
      <c r="F36" s="32">
        <f>IF('事件总表（增强版）'!E36="","",'事件总表（增强版）'!E36)</f>
        <v>3</v>
      </c>
      <c r="G36" s="32">
        <f>IF('事件总表（增强版）'!A36="","",F36-E36+1)</f>
        <v>4</v>
      </c>
      <c r="H36" s="29" t="str">
        <f>IF('事件总表（增强版）'!F36="","",'事件总表（增强版）'!F36)</f>
        <v>低</v>
      </c>
      <c r="I36" s="32">
        <f t="shared" si="5"/>
        <v>1</v>
      </c>
      <c r="J36" s="32" t="str">
        <f>IF('事件总表（增强版）'!G36="","",'事件总表（增强版）'!G36)</f>
        <v>正面</v>
      </c>
      <c r="K36" s="32">
        <f t="shared" si="6"/>
        <v>1</v>
      </c>
      <c r="L36" s="32">
        <v>1</v>
      </c>
      <c r="M36" s="32">
        <f t="shared" si="7"/>
        <v>0</v>
      </c>
      <c r="N36" s="32">
        <f t="shared" si="8"/>
        <v>1</v>
      </c>
      <c r="O36" s="32">
        <f t="shared" si="9"/>
        <v>0</v>
      </c>
      <c r="P36" s="33"/>
      <c r="Q36" s="33"/>
      <c r="R36" s="33"/>
      <c r="S36" s="33">
        <v>2.6</v>
      </c>
      <c r="T36" s="29" t="s">
        <v>601</v>
      </c>
    </row>
    <row r="37" spans="1:20" ht="26.65" customHeight="1" x14ac:dyDescent="0.25">
      <c r="A37" s="30">
        <f>IF('事件总表（增强版）'!A37="","",ROW()-1)</f>
        <v>36</v>
      </c>
      <c r="B37" s="29" t="str">
        <f>IF('事件总表（增强版）'!A37="","",'事件总表（增强版）'!A37)</f>
        <v>AMD上调服务器CPU市场空间与A股算力芯片联动</v>
      </c>
      <c r="C37" s="29" t="str">
        <f>IF('事件总表（增强版）'!B37="","",'事件总表（增强版）'!B37)</f>
        <v>行业/技术</v>
      </c>
      <c r="D37" s="31" t="str">
        <f>IF('事件总表（增强版）'!C37="","",'事件总表（增强版）'!C37)</f>
        <v>2026-04-18</v>
      </c>
      <c r="E37" s="32">
        <f>IF('事件总表（增强版）'!D37="","",'事件总表（增强版）'!D37)</f>
        <v>0</v>
      </c>
      <c r="F37" s="32">
        <f>IF('事件总表（增强版）'!E37="","",'事件总表（增强版）'!E37)</f>
        <v>3</v>
      </c>
      <c r="G37" s="32">
        <f>IF('事件总表（增强版）'!A37="","",F37-E37+1)</f>
        <v>4</v>
      </c>
      <c r="H37" s="29" t="str">
        <f>IF('事件总表（增强版）'!F37="","",'事件总表（增强版）'!F37)</f>
        <v>高</v>
      </c>
      <c r="I37" s="32">
        <f t="shared" si="5"/>
        <v>3</v>
      </c>
      <c r="J37" s="32" t="str">
        <f>IF('事件总表（增强版）'!G37="","",'事件总表（增强版）'!G37)</f>
        <v>正面</v>
      </c>
      <c r="K37" s="32">
        <f t="shared" si="6"/>
        <v>1</v>
      </c>
      <c r="L37" s="32">
        <v>3</v>
      </c>
      <c r="M37" s="32">
        <f t="shared" si="7"/>
        <v>0</v>
      </c>
      <c r="N37" s="32">
        <f t="shared" si="8"/>
        <v>1</v>
      </c>
      <c r="O37" s="32">
        <f t="shared" si="9"/>
        <v>0</v>
      </c>
      <c r="P37" s="33"/>
      <c r="Q37" s="33"/>
      <c r="R37" s="33"/>
      <c r="S37" s="33">
        <v>8.8000000000000007</v>
      </c>
      <c r="T37" s="29" t="s">
        <v>601</v>
      </c>
    </row>
    <row r="38" spans="1:20" ht="26.65" customHeight="1" x14ac:dyDescent="0.25">
      <c r="A38" s="30">
        <f>IF('事件总表（增强版）'!A38="","",ROW()-1)</f>
        <v>37</v>
      </c>
      <c r="B38" s="29" t="str">
        <f>IF('事件总表（增强版）'!A38="","",'事件总表（增强版）'!A38)</f>
        <v>全球光纤供需缺口扩大与A股光纤板块联动</v>
      </c>
      <c r="C38" s="29" t="str">
        <f>IF('事件总表（增强版）'!B38="","",'事件总表（增强版）'!B38)</f>
        <v>行业/技术</v>
      </c>
      <c r="D38" s="31" t="str">
        <f>IF('事件总表（增强版）'!C38="","",'事件总表（增强版）'!C38)</f>
        <v>2026-02-24</v>
      </c>
      <c r="E38" s="32">
        <f>IF('事件总表（增强版）'!D38="","",'事件总表（增强版）'!D38)</f>
        <v>0</v>
      </c>
      <c r="F38" s="32">
        <f>IF('事件总表（增强版）'!E38="","",'事件总表（增强版）'!E38)</f>
        <v>3</v>
      </c>
      <c r="G38" s="32">
        <f>IF('事件总表（增强版）'!A38="","",F38-E38+1)</f>
        <v>4</v>
      </c>
      <c r="H38" s="29" t="str">
        <f>IF('事件总表（增强版）'!F38="","",'事件总表（增强版）'!F38)</f>
        <v>高</v>
      </c>
      <c r="I38" s="32">
        <f t="shared" si="5"/>
        <v>3</v>
      </c>
      <c r="J38" s="32" t="str">
        <f>IF('事件总表（增强版）'!G38="","",'事件总表（增强版）'!G38)</f>
        <v>正面</v>
      </c>
      <c r="K38" s="32">
        <f t="shared" si="6"/>
        <v>1</v>
      </c>
      <c r="L38" s="32">
        <v>3</v>
      </c>
      <c r="M38" s="32">
        <f t="shared" si="7"/>
        <v>0</v>
      </c>
      <c r="N38" s="32">
        <f t="shared" si="8"/>
        <v>1</v>
      </c>
      <c r="O38" s="32">
        <f t="shared" si="9"/>
        <v>0</v>
      </c>
      <c r="P38" s="33"/>
      <c r="Q38" s="33"/>
      <c r="R38" s="33"/>
      <c r="S38" s="33">
        <v>3.8</v>
      </c>
      <c r="T38" s="29" t="s">
        <v>601</v>
      </c>
    </row>
    <row r="39" spans="1:20" ht="26.65" customHeight="1" x14ac:dyDescent="0.25">
      <c r="A39" s="30">
        <f>IF('事件总表（增强版）'!A39="","",ROW()-1)</f>
        <v>38</v>
      </c>
      <c r="B39" s="29" t="str">
        <f>IF('事件总表（增强版）'!A39="","",'事件总表（增强版）'!A39)</f>
        <v>电子布量价齐升与A股PCB电子布板块联动</v>
      </c>
      <c r="C39" s="29" t="str">
        <f>IF('事件总表（增强版）'!B39="","",'事件总表（增强版）'!B39)</f>
        <v>行业/技术</v>
      </c>
      <c r="D39" s="31" t="str">
        <f>IF('事件总表（增强版）'!C39="","",'事件总表（增强版）'!C39)</f>
        <v>2026-04-12</v>
      </c>
      <c r="E39" s="32">
        <f>IF('事件总表（增强版）'!D39="","",'事件总表（增强版）'!D39)</f>
        <v>0</v>
      </c>
      <c r="F39" s="32">
        <f>IF('事件总表（增强版）'!E39="","",'事件总表（增强版）'!E39)</f>
        <v>3</v>
      </c>
      <c r="G39" s="32">
        <f>IF('事件总表（增强版）'!A39="","",F39-E39+1)</f>
        <v>4</v>
      </c>
      <c r="H39" s="29" t="str">
        <f>IF('事件总表（增强版）'!F39="","",'事件总表（增强版）'!F39)</f>
        <v>低</v>
      </c>
      <c r="I39" s="32">
        <f t="shared" si="5"/>
        <v>1</v>
      </c>
      <c r="J39" s="32" t="str">
        <f>IF('事件总表（增强版）'!G39="","",'事件总表（增强版）'!G39)</f>
        <v>正面</v>
      </c>
      <c r="K39" s="32">
        <f t="shared" si="6"/>
        <v>1</v>
      </c>
      <c r="L39" s="32">
        <v>1</v>
      </c>
      <c r="M39" s="32">
        <f t="shared" si="7"/>
        <v>0</v>
      </c>
      <c r="N39" s="32">
        <f t="shared" si="8"/>
        <v>1</v>
      </c>
      <c r="O39" s="32">
        <f t="shared" si="9"/>
        <v>0</v>
      </c>
      <c r="P39" s="33"/>
      <c r="Q39" s="33"/>
      <c r="R39" s="33"/>
      <c r="S39" s="33">
        <v>10</v>
      </c>
      <c r="T39" s="29" t="s">
        <v>601</v>
      </c>
    </row>
    <row r="40" spans="1:20" ht="26.65" customHeight="1" x14ac:dyDescent="0.25">
      <c r="A40" s="30">
        <f>IF('事件总表（增强版）'!A40="","",ROW()-1)</f>
        <v>39</v>
      </c>
      <c r="B40" s="29" t="str">
        <f>IF('事件总表（增强版）'!A40="","",'事件总表（增强版）'!A40)</f>
        <v>Lumen 50亿美元光通信订单与A股光通信板块联动</v>
      </c>
      <c r="C40" s="29" t="str">
        <f>IF('事件总表（增强版）'!B40="","",'事件总表（增强版）'!B40)</f>
        <v>行业/技术</v>
      </c>
      <c r="D40" s="31" t="str">
        <f>IF('事件总表（增强版）'!C40="","",'事件总表（增强版）'!C40)</f>
        <v>2024-08-07</v>
      </c>
      <c r="E40" s="32">
        <f>IF('事件总表（增强版）'!D40="","",'事件总表（增强版）'!D40)</f>
        <v>0</v>
      </c>
      <c r="F40" s="32">
        <f>IF('事件总表（增强版）'!E40="","",'事件总表（增强版）'!E40)</f>
        <v>3</v>
      </c>
      <c r="G40" s="32">
        <f>IF('事件总表（增强版）'!A40="","",F40-E40+1)</f>
        <v>4</v>
      </c>
      <c r="H40" s="29" t="str">
        <f>IF('事件总表（增强版）'!F40="","",'事件总表（增强版）'!F40)</f>
        <v>中</v>
      </c>
      <c r="I40" s="32">
        <f t="shared" si="5"/>
        <v>2</v>
      </c>
      <c r="J40" s="32" t="str">
        <f>IF('事件总表（增强版）'!G40="","",'事件总表（增强版）'!G40)</f>
        <v>正面</v>
      </c>
      <c r="K40" s="32">
        <f t="shared" si="6"/>
        <v>1</v>
      </c>
      <c r="L40" s="32">
        <v>2</v>
      </c>
      <c r="M40" s="32">
        <f t="shared" si="7"/>
        <v>0</v>
      </c>
      <c r="N40" s="32">
        <f t="shared" si="8"/>
        <v>1</v>
      </c>
      <c r="O40" s="32">
        <f t="shared" si="9"/>
        <v>0</v>
      </c>
      <c r="P40" s="33"/>
      <c r="Q40" s="33"/>
      <c r="R40" s="33"/>
      <c r="S40" s="33">
        <v>7</v>
      </c>
      <c r="T40" s="29" t="s">
        <v>601</v>
      </c>
    </row>
    <row r="41" spans="1:20" ht="26.65" customHeight="1" x14ac:dyDescent="0.25">
      <c r="A41" s="30">
        <f>IF('事件总表（增强版）'!A41="","",ROW()-1)</f>
        <v>40</v>
      </c>
      <c r="B41" s="29" t="str">
        <f>IF('事件总表（增强版）'!A41="","",'事件总表（增强版）'!A41)</f>
        <v>英特尔AI CPU技术突破与A股算力CPU板块联动</v>
      </c>
      <c r="C41" s="29" t="str">
        <f>IF('事件总表（增强版）'!B41="","",'事件总表（增强版）'!B41)</f>
        <v>行业/技术</v>
      </c>
      <c r="D41" s="31" t="str">
        <f>IF('事件总表（增强版）'!C41="","",'事件总表（增强版）'!C41)</f>
        <v>2026-05-05</v>
      </c>
      <c r="E41" s="32">
        <f>IF('事件总表（增强版）'!D41="","",'事件总表（增强版）'!D41)</f>
        <v>0</v>
      </c>
      <c r="F41" s="32">
        <f>IF('事件总表（增强版）'!E41="","",'事件总表（增强版）'!E41)</f>
        <v>3</v>
      </c>
      <c r="G41" s="32">
        <f>IF('事件总表（增强版）'!A41="","",F41-E41+1)</f>
        <v>4</v>
      </c>
      <c r="H41" s="29" t="str">
        <f>IF('事件总表（增强版）'!F41="","",'事件总表（增强版）'!F41)</f>
        <v>中</v>
      </c>
      <c r="I41" s="32">
        <f t="shared" si="5"/>
        <v>2</v>
      </c>
      <c r="J41" s="32" t="str">
        <f>IF('事件总表（增强版）'!G41="","",'事件总表（增强版）'!G41)</f>
        <v>正面</v>
      </c>
      <c r="K41" s="32">
        <f t="shared" si="6"/>
        <v>1</v>
      </c>
      <c r="L41" s="32">
        <v>2</v>
      </c>
      <c r="M41" s="32">
        <f t="shared" si="7"/>
        <v>0</v>
      </c>
      <c r="N41" s="32">
        <f t="shared" si="8"/>
        <v>1</v>
      </c>
      <c r="O41" s="32">
        <f t="shared" si="9"/>
        <v>0</v>
      </c>
      <c r="P41" s="33"/>
      <c r="Q41" s="33"/>
      <c r="R41" s="33"/>
      <c r="S41" s="33">
        <v>4.8</v>
      </c>
      <c r="T41" s="29" t="s">
        <v>601</v>
      </c>
    </row>
    <row r="42" spans="1:20" ht="26.65" customHeight="1" x14ac:dyDescent="0.25">
      <c r="A42" s="30">
        <f>IF('事件总表（增强版）'!A42="","",ROW()-1)</f>
        <v>41</v>
      </c>
      <c r="B42" s="29" t="str">
        <f>IF('事件总表（增强版）'!A42="","",'事件总表（增强版）'!A42)</f>
        <v>光伏HJT电池效率刷新与A股光伏设备板块联动</v>
      </c>
      <c r="C42" s="29" t="str">
        <f>IF('事件总表（增强版）'!B42="","",'事件总表（增强版）'!B42)</f>
        <v>行业/技术</v>
      </c>
      <c r="D42" s="31" t="str">
        <f>IF('事件总表（增强版）'!C42="","",'事件总表（增强版）'!C42)</f>
        <v>2025-08-12</v>
      </c>
      <c r="E42" s="32">
        <f>IF('事件总表（增强版）'!D42="","",'事件总表（增强版）'!D42)</f>
        <v>0</v>
      </c>
      <c r="F42" s="32">
        <f>IF('事件总表（增强版）'!E42="","",'事件总表（增强版）'!E42)</f>
        <v>3</v>
      </c>
      <c r="G42" s="32">
        <f>IF('事件总表（增强版）'!A42="","",F42-E42+1)</f>
        <v>4</v>
      </c>
      <c r="H42" s="29" t="str">
        <f>IF('事件总表（增强版）'!F42="","",'事件总表（增强版）'!F42)</f>
        <v>低</v>
      </c>
      <c r="I42" s="32">
        <f t="shared" si="5"/>
        <v>1</v>
      </c>
      <c r="J42" s="32" t="str">
        <f>IF('事件总表（增强版）'!G42="","",'事件总表（增强版）'!G42)</f>
        <v>正面</v>
      </c>
      <c r="K42" s="32">
        <f t="shared" si="6"/>
        <v>1</v>
      </c>
      <c r="L42" s="32">
        <v>1</v>
      </c>
      <c r="M42" s="32">
        <f t="shared" si="7"/>
        <v>0</v>
      </c>
      <c r="N42" s="32">
        <f t="shared" si="8"/>
        <v>1</v>
      </c>
      <c r="O42" s="32">
        <f t="shared" si="9"/>
        <v>0</v>
      </c>
      <c r="P42" s="33"/>
      <c r="Q42" s="33"/>
      <c r="R42" s="33"/>
      <c r="S42" s="33">
        <v>4.2</v>
      </c>
      <c r="T42" s="29" t="s">
        <v>601</v>
      </c>
    </row>
    <row r="43" spans="1:20" ht="26.65" customHeight="1" x14ac:dyDescent="0.25">
      <c r="A43" s="30">
        <f>IF('事件总表（增强版）'!A43="","",ROW()-1)</f>
        <v>42</v>
      </c>
      <c r="B43" s="29" t="str">
        <f>IF('事件总表（增强版）'!A43="","",'事件总表（增强版）'!A43)</f>
        <v>Mini LED量产提速与A股LED显示板块联动</v>
      </c>
      <c r="C43" s="29" t="str">
        <f>IF('事件总表（增强版）'!B43="","",'事件总表（增强版）'!B43)</f>
        <v>行业/技术</v>
      </c>
      <c r="D43" s="31" t="str">
        <f>IF('事件总表（增强版）'!C43="","",'事件总表（增强版）'!C43)</f>
        <v>2025-12-15</v>
      </c>
      <c r="E43" s="32">
        <f>IF('事件总表（增强版）'!D43="","",'事件总表（增强版）'!D43)</f>
        <v>0</v>
      </c>
      <c r="F43" s="32">
        <f>IF('事件总表（增强版）'!E43="","",'事件总表（增强版）'!E43)</f>
        <v>3</v>
      </c>
      <c r="G43" s="32">
        <f>IF('事件总表（增强版）'!A43="","",F43-E43+1)</f>
        <v>4</v>
      </c>
      <c r="H43" s="29" t="str">
        <f>IF('事件总表（增强版）'!F43="","",'事件总表（增强版）'!F43)</f>
        <v>中</v>
      </c>
      <c r="I43" s="32">
        <f t="shared" si="5"/>
        <v>2</v>
      </c>
      <c r="J43" s="32" t="str">
        <f>IF('事件总表（增强版）'!G43="","",'事件总表（增强版）'!G43)</f>
        <v>正面</v>
      </c>
      <c r="K43" s="32">
        <f t="shared" si="6"/>
        <v>1</v>
      </c>
      <c r="L43" s="32">
        <v>2</v>
      </c>
      <c r="M43" s="32">
        <f t="shared" si="7"/>
        <v>0</v>
      </c>
      <c r="N43" s="32">
        <f t="shared" si="8"/>
        <v>1</v>
      </c>
      <c r="O43" s="32">
        <f t="shared" si="9"/>
        <v>0</v>
      </c>
      <c r="P43" s="33"/>
      <c r="Q43" s="33"/>
      <c r="R43" s="33"/>
      <c r="S43" s="33">
        <v>2.8</v>
      </c>
      <c r="T43" s="29" t="s">
        <v>601</v>
      </c>
    </row>
    <row r="44" spans="1:20" ht="26.65" customHeight="1" x14ac:dyDescent="0.25">
      <c r="A44" s="30">
        <f>IF('事件总表（增强版）'!A44="","",ROW()-1)</f>
        <v>43</v>
      </c>
      <c r="B44" s="29" t="str">
        <f>IF('事件总表（增强版）'!A44="","",'事件总表（增强版）'!A44)</f>
        <v>工业机器人出货高增与A股机器人减速器板块联动</v>
      </c>
      <c r="C44" s="29" t="str">
        <f>IF('事件总表（增强版）'!B44="","",'事件总表（增强版）'!B44)</f>
        <v>行业/技术</v>
      </c>
      <c r="D44" s="31" t="str">
        <f>IF('事件总表（增强版）'!C44="","",'事件总表（增强版）'!C44)</f>
        <v>2026-01-15</v>
      </c>
      <c r="E44" s="32">
        <f>IF('事件总表（增强版）'!D44="","",'事件总表（增强版）'!D44)</f>
        <v>0</v>
      </c>
      <c r="F44" s="32">
        <f>IF('事件总表（增强版）'!E44="","",'事件总表（增强版）'!E44)</f>
        <v>3</v>
      </c>
      <c r="G44" s="32">
        <f>IF('事件总表（增强版）'!A44="","",F44-E44+1)</f>
        <v>4</v>
      </c>
      <c r="H44" s="29" t="str">
        <f>IF('事件总表（增强版）'!F44="","",'事件总表（增强版）'!F44)</f>
        <v>中</v>
      </c>
      <c r="I44" s="32">
        <f t="shared" si="5"/>
        <v>2</v>
      </c>
      <c r="J44" s="32" t="str">
        <f>IF('事件总表（增强版）'!G44="","",'事件总表（增强版）'!G44)</f>
        <v>正面</v>
      </c>
      <c r="K44" s="32">
        <f t="shared" si="6"/>
        <v>1</v>
      </c>
      <c r="L44" s="32">
        <v>2</v>
      </c>
      <c r="M44" s="32">
        <f t="shared" si="7"/>
        <v>0</v>
      </c>
      <c r="N44" s="32">
        <f t="shared" si="8"/>
        <v>1</v>
      </c>
      <c r="O44" s="32">
        <f t="shared" si="9"/>
        <v>0</v>
      </c>
      <c r="P44" s="33"/>
      <c r="Q44" s="33"/>
      <c r="R44" s="33"/>
      <c r="S44" s="33">
        <v>3.9</v>
      </c>
      <c r="T44" s="29" t="s">
        <v>601</v>
      </c>
    </row>
    <row r="45" spans="1:20" ht="26.65" customHeight="1" x14ac:dyDescent="0.25">
      <c r="A45" s="30">
        <f>IF('事件总表（增强版）'!A45="","",ROW()-1)</f>
        <v>44</v>
      </c>
      <c r="B45" s="29" t="str">
        <f>IF('事件总表（增强版）'!A45="","",'事件总表（增强版）'!A45)</f>
        <v>碳化硅衬底量产与A股第三代半导体板块联动</v>
      </c>
      <c r="C45" s="29" t="str">
        <f>IF('事件总表（增强版）'!B45="","",'事件总表（增强版）'!B45)</f>
        <v>行业/技术</v>
      </c>
      <c r="D45" s="31" t="str">
        <f>IF('事件总表（增强版）'!C45="","",'事件总表（增强版）'!C45)</f>
        <v>2026-03-20</v>
      </c>
      <c r="E45" s="32">
        <f>IF('事件总表（增强版）'!D45="","",'事件总表（增强版）'!D45)</f>
        <v>0</v>
      </c>
      <c r="F45" s="32">
        <f>IF('事件总表（增强版）'!E45="","",'事件总表（增强版）'!E45)</f>
        <v>3</v>
      </c>
      <c r="G45" s="32">
        <f>IF('事件总表（增强版）'!A45="","",F45-E45+1)</f>
        <v>4</v>
      </c>
      <c r="H45" s="29" t="str">
        <f>IF('事件总表（增强版）'!F45="","",'事件总表（增强版）'!F45)</f>
        <v>低</v>
      </c>
      <c r="I45" s="32">
        <f t="shared" si="5"/>
        <v>1</v>
      </c>
      <c r="J45" s="32" t="str">
        <f>IF('事件总表（增强版）'!G45="","",'事件总表（增强版）'!G45)</f>
        <v>正面</v>
      </c>
      <c r="K45" s="32">
        <f t="shared" si="6"/>
        <v>1</v>
      </c>
      <c r="L45" s="32">
        <v>1</v>
      </c>
      <c r="M45" s="32">
        <f t="shared" si="7"/>
        <v>0</v>
      </c>
      <c r="N45" s="32">
        <f t="shared" si="8"/>
        <v>1</v>
      </c>
      <c r="O45" s="32">
        <f t="shared" si="9"/>
        <v>0</v>
      </c>
      <c r="P45" s="33"/>
      <c r="Q45" s="33"/>
      <c r="R45" s="33"/>
      <c r="S45" s="33">
        <v>3.5</v>
      </c>
      <c r="T45" s="29" t="s">
        <v>601</v>
      </c>
    </row>
    <row r="46" spans="1:20" ht="26.65" customHeight="1" x14ac:dyDescent="0.25">
      <c r="A46" s="30">
        <f>IF('事件总表（增强版）'!A46="","",ROW()-1)</f>
        <v>45</v>
      </c>
      <c r="B46" s="29" t="str">
        <f>IF('事件总表（增强版）'!A46="","",'事件总表（增强版）'!A46)</f>
        <v>国际油价持续上涨与A股油服工程板块联动</v>
      </c>
      <c r="C46" s="29" t="str">
        <f>IF('事件总表（增强版）'!B46="","",'事件总表（增强版）'!B46)</f>
        <v>行业/技术</v>
      </c>
      <c r="D46" s="31" t="str">
        <f>IF('事件总表（增强版）'!C46="","",'事件总表（增强版）'!C46)</f>
        <v>2025-10-23</v>
      </c>
      <c r="E46" s="32">
        <f>IF('事件总表（增强版）'!D46="","",'事件总表（增强版）'!D46)</f>
        <v>0</v>
      </c>
      <c r="F46" s="32">
        <f>IF('事件总表（增强版）'!E46="","",'事件总表（增强版）'!E46)</f>
        <v>3</v>
      </c>
      <c r="G46" s="32">
        <f>IF('事件总表（增强版）'!A46="","",F46-E46+1)</f>
        <v>4</v>
      </c>
      <c r="H46" s="29" t="str">
        <f>IF('事件总表（增强版）'!F46="","",'事件总表（增强版）'!F46)</f>
        <v>中</v>
      </c>
      <c r="I46" s="32">
        <f t="shared" si="5"/>
        <v>2</v>
      </c>
      <c r="J46" s="32" t="str">
        <f>IF('事件总表（增强版）'!G46="","",'事件总表（增强版）'!G46)</f>
        <v>正面</v>
      </c>
      <c r="K46" s="32">
        <f t="shared" si="6"/>
        <v>1</v>
      </c>
      <c r="L46" s="32">
        <v>2</v>
      </c>
      <c r="M46" s="32">
        <f t="shared" si="7"/>
        <v>0</v>
      </c>
      <c r="N46" s="32">
        <f t="shared" si="8"/>
        <v>1</v>
      </c>
      <c r="O46" s="32">
        <f t="shared" si="9"/>
        <v>0</v>
      </c>
      <c r="P46" s="33"/>
      <c r="Q46" s="33"/>
      <c r="R46" s="33"/>
      <c r="S46" s="33">
        <v>3</v>
      </c>
      <c r="T46" s="29" t="s">
        <v>601</v>
      </c>
    </row>
    <row r="47" spans="1:20" ht="26.65" customHeight="1" x14ac:dyDescent="0.25">
      <c r="A47" s="30">
        <f>IF('事件总表（增强版）'!A47="","",ROW()-1)</f>
        <v>46</v>
      </c>
      <c r="B47" s="29" t="str">
        <f>IF('事件总表（增强版）'!A47="","",'事件总表（增强版）'!A47)</f>
        <v>跨境电商出口高增与A股跨境电商板块联动</v>
      </c>
      <c r="C47" s="29" t="str">
        <f>IF('事件总表（增强版）'!B47="","",'事件总表（增强版）'!B47)</f>
        <v>行业/技术</v>
      </c>
      <c r="D47" s="31" t="str">
        <f>IF('事件总表（增强版）'!C47="","",'事件总表（增强版）'!C47)</f>
        <v>2026-01-20</v>
      </c>
      <c r="E47" s="32">
        <f>IF('事件总表（增强版）'!D47="","",'事件总表（增强版）'!D47)</f>
        <v>0</v>
      </c>
      <c r="F47" s="32">
        <f>IF('事件总表（增强版）'!E47="","",'事件总表（增强版）'!E47)</f>
        <v>3</v>
      </c>
      <c r="G47" s="32">
        <f>IF('事件总表（增强版）'!A47="","",F47-E47+1)</f>
        <v>4</v>
      </c>
      <c r="H47" s="29" t="str">
        <f>IF('事件总表（增强版）'!F47="","",'事件总表（增强版）'!F47)</f>
        <v>高</v>
      </c>
      <c r="I47" s="32">
        <f t="shared" si="5"/>
        <v>3</v>
      </c>
      <c r="J47" s="32" t="str">
        <f>IF('事件总表（增强版）'!G47="","",'事件总表（增强版）'!G47)</f>
        <v>正面</v>
      </c>
      <c r="K47" s="32">
        <f t="shared" si="6"/>
        <v>1</v>
      </c>
      <c r="L47" s="32">
        <v>3</v>
      </c>
      <c r="M47" s="32">
        <f t="shared" si="7"/>
        <v>0</v>
      </c>
      <c r="N47" s="32">
        <f t="shared" si="8"/>
        <v>1</v>
      </c>
      <c r="O47" s="32">
        <f t="shared" si="9"/>
        <v>0</v>
      </c>
      <c r="P47" s="33"/>
      <c r="Q47" s="33"/>
      <c r="R47" s="33"/>
      <c r="S47" s="33">
        <v>3.2</v>
      </c>
      <c r="T47" s="29" t="s">
        <v>601</v>
      </c>
    </row>
    <row r="48" spans="1:20" ht="26.65" customHeight="1" x14ac:dyDescent="0.25">
      <c r="A48" s="30">
        <f>IF('事件总表（增强版）'!A48="","",ROW()-1)</f>
        <v>47</v>
      </c>
      <c r="B48" s="29" t="str">
        <f>IF('事件总表（增强版）'!A48="","",'事件总表（增强版）'!A48)</f>
        <v>汽车一体化压铸普及与A股压铸零部件板块联动</v>
      </c>
      <c r="C48" s="29" t="str">
        <f>IF('事件总表（增强版）'!B48="","",'事件总表（增强版）'!B48)</f>
        <v>行业/技术</v>
      </c>
      <c r="D48" s="31" t="str">
        <f>IF('事件总表（增强版）'!C48="","",'事件总表（增强版）'!C48)</f>
        <v>2026-04-18</v>
      </c>
      <c r="E48" s="32">
        <f>IF('事件总表（增强版）'!D48="","",'事件总表（增强版）'!D48)</f>
        <v>0</v>
      </c>
      <c r="F48" s="32">
        <f>IF('事件总表（增强版）'!E48="","",'事件总表（增强版）'!E48)</f>
        <v>3</v>
      </c>
      <c r="G48" s="32">
        <f>IF('事件总表（增强版）'!A48="","",F48-E48+1)</f>
        <v>4</v>
      </c>
      <c r="H48" s="29" t="str">
        <f>IF('事件总表（增强版）'!F48="","",'事件总表（增强版）'!F48)</f>
        <v>低</v>
      </c>
      <c r="I48" s="32">
        <f t="shared" si="5"/>
        <v>1</v>
      </c>
      <c r="J48" s="32" t="str">
        <f>IF('事件总表（增强版）'!G48="","",'事件总表（增强版）'!G48)</f>
        <v>正面</v>
      </c>
      <c r="K48" s="32">
        <f t="shared" si="6"/>
        <v>1</v>
      </c>
      <c r="L48" s="32">
        <v>1</v>
      </c>
      <c r="M48" s="32">
        <f t="shared" si="7"/>
        <v>0</v>
      </c>
      <c r="N48" s="32">
        <f t="shared" si="8"/>
        <v>1</v>
      </c>
      <c r="O48" s="32">
        <f t="shared" si="9"/>
        <v>0</v>
      </c>
      <c r="P48" s="33"/>
      <c r="Q48" s="33"/>
      <c r="R48" s="33"/>
      <c r="S48" s="33">
        <v>3.2</v>
      </c>
      <c r="T48" s="29" t="s">
        <v>601</v>
      </c>
    </row>
    <row r="49" spans="1:20" ht="26.65" customHeight="1" x14ac:dyDescent="0.25">
      <c r="A49" s="30">
        <f>IF('事件总表（增强版）'!A49="","",ROW()-1)</f>
        <v>48</v>
      </c>
      <c r="B49" s="29" t="str">
        <f>IF('事件总表（增强版）'!A49="","",'事件总表（增强版）'!A49)</f>
        <v>稀土供需格局收紧与A股稀土板块联动</v>
      </c>
      <c r="C49" s="29" t="str">
        <f>IF('事件总表（增强版）'!B49="","",'事件总表（增强版）'!B49)</f>
        <v>行业/技术</v>
      </c>
      <c r="D49" s="31" t="str">
        <f>IF('事件总表（增强版）'!C49="","",'事件总表（增强版）'!C49)</f>
        <v>2026-02-27</v>
      </c>
      <c r="E49" s="32">
        <f>IF('事件总表（增强版）'!D49="","",'事件总表（增强版）'!D49)</f>
        <v>0</v>
      </c>
      <c r="F49" s="32">
        <f>IF('事件总表（增强版）'!E49="","",'事件总表（增强版）'!E49)</f>
        <v>3</v>
      </c>
      <c r="G49" s="32">
        <f>IF('事件总表（增强版）'!A49="","",F49-E49+1)</f>
        <v>4</v>
      </c>
      <c r="H49" s="29" t="str">
        <f>IF('事件总表（增强版）'!F49="","",'事件总表（增强版）'!F49)</f>
        <v>低</v>
      </c>
      <c r="I49" s="32">
        <f t="shared" si="5"/>
        <v>1</v>
      </c>
      <c r="J49" s="32" t="str">
        <f>IF('事件总表（增强版）'!G49="","",'事件总表（增强版）'!G49)</f>
        <v>正面</v>
      </c>
      <c r="K49" s="32">
        <f t="shared" si="6"/>
        <v>1</v>
      </c>
      <c r="L49" s="32">
        <v>1</v>
      </c>
      <c r="M49" s="32">
        <f t="shared" si="7"/>
        <v>0</v>
      </c>
      <c r="N49" s="32">
        <f t="shared" si="8"/>
        <v>1</v>
      </c>
      <c r="O49" s="32">
        <f t="shared" si="9"/>
        <v>0</v>
      </c>
      <c r="P49" s="33"/>
      <c r="Q49" s="33"/>
      <c r="R49" s="33"/>
      <c r="S49" s="33">
        <v>2.7</v>
      </c>
      <c r="T49" s="29" t="s">
        <v>601</v>
      </c>
    </row>
    <row r="50" spans="1:20" ht="26.65" customHeight="1" x14ac:dyDescent="0.25">
      <c r="A50" s="30">
        <f>IF('事件总表（增强版）'!A50="","",ROW()-1)</f>
        <v>49</v>
      </c>
      <c r="B50" s="29" t="str">
        <f>IF('事件总表（增强版）'!A50="","",'事件总表（增强版）'!A50)</f>
        <v>宁德时代钠离子电池量产突破与A股钠电板块联动</v>
      </c>
      <c r="C50" s="29" t="str">
        <f>IF('事件总表（增强版）'!B50="","",'事件总表（增强版）'!B50)</f>
        <v>行业/技术</v>
      </c>
      <c r="D50" s="31" t="str">
        <f>IF('事件总表（增强版）'!C50="","",'事件总表（增强版）'!C50)</f>
        <v>2026-04-21</v>
      </c>
      <c r="E50" s="32">
        <f>IF('事件总表（增强版）'!D50="","",'事件总表（增强版）'!D50)</f>
        <v>0</v>
      </c>
      <c r="F50" s="32">
        <f>IF('事件总表（增强版）'!E50="","",'事件总表（增强版）'!E50)</f>
        <v>3</v>
      </c>
      <c r="G50" s="32">
        <f>IF('事件总表（增强版）'!A50="","",F50-E50+1)</f>
        <v>4</v>
      </c>
      <c r="H50" s="29" t="str">
        <f>IF('事件总表（增强版）'!F50="","",'事件总表（增强版）'!F50)</f>
        <v>低</v>
      </c>
      <c r="I50" s="32">
        <f t="shared" si="5"/>
        <v>1</v>
      </c>
      <c r="J50" s="32" t="str">
        <f>IF('事件总表（增强版）'!G50="","",'事件总表（增强版）'!G50)</f>
        <v>正面</v>
      </c>
      <c r="K50" s="32">
        <f t="shared" si="6"/>
        <v>1</v>
      </c>
      <c r="L50" s="32">
        <v>1</v>
      </c>
      <c r="M50" s="32">
        <f t="shared" si="7"/>
        <v>0</v>
      </c>
      <c r="N50" s="32">
        <f t="shared" si="8"/>
        <v>1</v>
      </c>
      <c r="O50" s="32">
        <f t="shared" si="9"/>
        <v>0</v>
      </c>
      <c r="P50" s="33"/>
      <c r="Q50" s="33"/>
      <c r="R50" s="33"/>
      <c r="S50" s="33">
        <v>4</v>
      </c>
      <c r="T50" s="29" t="s">
        <v>601</v>
      </c>
    </row>
    <row r="51" spans="1:20" ht="26.65" customHeight="1" x14ac:dyDescent="0.25">
      <c r="A51" s="30">
        <f>IF('事件总表（增强版）'!A51="","",ROW()-1)</f>
        <v>50</v>
      </c>
      <c r="B51" s="29" t="str">
        <f>IF('事件总表（增强版）'!A51="","",'事件总表（增强版）'!A51)</f>
        <v>光伏银浆技术突破与A股光伏辅料板块联动</v>
      </c>
      <c r="C51" s="29" t="str">
        <f>IF('事件总表（增强版）'!B51="","",'事件总表（增强版）'!B51)</f>
        <v>行业/技术</v>
      </c>
      <c r="D51" s="31" t="str">
        <f>IF('事件总表（增强版）'!C51="","",'事件总表（增强版）'!C51)</f>
        <v>2025-08-12</v>
      </c>
      <c r="E51" s="32">
        <f>IF('事件总表（增强版）'!D51="","",'事件总表（增强版）'!D51)</f>
        <v>0</v>
      </c>
      <c r="F51" s="32">
        <f>IF('事件总表（增强版）'!E51="","",'事件总表（增强版）'!E51)</f>
        <v>3</v>
      </c>
      <c r="G51" s="32">
        <f>IF('事件总表（增强版）'!A51="","",F51-E51+1)</f>
        <v>4</v>
      </c>
      <c r="H51" s="29" t="str">
        <f>IF('事件总表（增强版）'!F51="","",'事件总表（增强版）'!F51)</f>
        <v>低</v>
      </c>
      <c r="I51" s="32">
        <f t="shared" si="5"/>
        <v>1</v>
      </c>
      <c r="J51" s="32" t="str">
        <f>IF('事件总表（增强版）'!G51="","",'事件总表（增强版）'!G51)</f>
        <v>正面</v>
      </c>
      <c r="K51" s="32">
        <f t="shared" si="6"/>
        <v>1</v>
      </c>
      <c r="L51" s="32">
        <v>1</v>
      </c>
      <c r="M51" s="32">
        <f t="shared" si="7"/>
        <v>0</v>
      </c>
      <c r="N51" s="32">
        <f t="shared" si="8"/>
        <v>1</v>
      </c>
      <c r="O51" s="32">
        <f t="shared" si="9"/>
        <v>0</v>
      </c>
      <c r="P51" s="33"/>
      <c r="Q51" s="33"/>
      <c r="R51" s="33"/>
      <c r="S51" s="33">
        <v>2.5</v>
      </c>
      <c r="T51" s="29" t="s">
        <v>601</v>
      </c>
    </row>
    <row r="52" spans="1:20" ht="26.65" customHeight="1" x14ac:dyDescent="0.25">
      <c r="A52" s="30">
        <f>IF('事件总表（增强版）'!A52="","",ROW()-1)</f>
        <v>51</v>
      </c>
      <c r="B52" s="29" t="str">
        <f>IF('事件总表（增强版）'!A52="","",'事件总表（增强版）'!A52)</f>
        <v>十部门发布低空经济标准体系建设指南（2025年版）</v>
      </c>
      <c r="C52" s="29" t="str">
        <f>IF('事件总表（增强版）'!B52="","",'事件总表（增强版）'!B52)</f>
        <v>政策</v>
      </c>
      <c r="D52" s="31" t="str">
        <f>IF('事件总表（增强版）'!C52="","",'事件总表（增强版）'!C52)</f>
        <v>2026-02-02</v>
      </c>
      <c r="E52" s="32">
        <f>IF('事件总表（增强版）'!D52="","",'事件总表（增强版）'!D52)</f>
        <v>-1</v>
      </c>
      <c r="F52" s="32">
        <f>IF('事件总表（增强版）'!E52="","",'事件总表（增强版）'!E52)</f>
        <v>5</v>
      </c>
      <c r="G52" s="32">
        <f>IF('事件总表（增强版）'!A52="","",F52-E52+1)</f>
        <v>7</v>
      </c>
      <c r="H52" s="29" t="str">
        <f>IF('事件总表（增强版）'!F52="","",'事件总表（增强版）'!F52)</f>
        <v>低</v>
      </c>
      <c r="I52" s="32">
        <f t="shared" si="5"/>
        <v>1</v>
      </c>
      <c r="J52" s="32" t="str">
        <f>IF('事件总表（增强版）'!G52="","",'事件总表（增强版）'!G52)</f>
        <v>正面</v>
      </c>
      <c r="K52" s="32">
        <f t="shared" si="6"/>
        <v>1</v>
      </c>
      <c r="L52" s="32">
        <v>1</v>
      </c>
      <c r="M52" s="32">
        <f t="shared" si="7"/>
        <v>0</v>
      </c>
      <c r="N52" s="32">
        <f t="shared" si="8"/>
        <v>0</v>
      </c>
      <c r="O52" s="32">
        <f t="shared" si="9"/>
        <v>1</v>
      </c>
      <c r="P52" s="33"/>
      <c r="Q52" s="33"/>
      <c r="R52" s="33"/>
      <c r="S52" s="33">
        <v>1.6</v>
      </c>
      <c r="T52" s="29" t="s">
        <v>601</v>
      </c>
    </row>
    <row r="53" spans="1:20" ht="26.65" customHeight="1" x14ac:dyDescent="0.25">
      <c r="A53" s="30">
        <f>IF('事件总表（增强版）'!A53="","",ROW()-1)</f>
        <v>52</v>
      </c>
      <c r="B53" s="29" t="str">
        <f>IF('事件总表（增强版）'!A53="","",'事件总表（增强版）'!A53)</f>
        <v>工信部部长表态推动AI和制造业双向奔赴</v>
      </c>
      <c r="C53" s="29" t="str">
        <f>IF('事件总表（增强版）'!B53="","",'事件总表（增强版）'!B53)</f>
        <v>政策</v>
      </c>
      <c r="D53" s="31" t="str">
        <f>IF('事件总表（增强版）'!C53="","",'事件总表（增强版）'!C53)</f>
        <v>2026-03-05</v>
      </c>
      <c r="E53" s="32">
        <f>IF('事件总表（增强版）'!D53="","",'事件总表（增强版）'!D53)</f>
        <v>-1</v>
      </c>
      <c r="F53" s="32">
        <f>IF('事件总表（增强版）'!E53="","",'事件总表（增强版）'!E53)</f>
        <v>5</v>
      </c>
      <c r="G53" s="32">
        <f>IF('事件总表（增强版）'!A53="","",F53-E53+1)</f>
        <v>7</v>
      </c>
      <c r="H53" s="29" t="str">
        <f>IF('事件总表（增强版）'!F53="","",'事件总表（增强版）'!F53)</f>
        <v>低</v>
      </c>
      <c r="I53" s="32">
        <f t="shared" si="5"/>
        <v>1</v>
      </c>
      <c r="J53" s="32" t="str">
        <f>IF('事件总表（增强版）'!G53="","",'事件总表（增强版）'!G53)</f>
        <v>正面</v>
      </c>
      <c r="K53" s="32">
        <f t="shared" si="6"/>
        <v>1</v>
      </c>
      <c r="L53" s="32">
        <v>1</v>
      </c>
      <c r="M53" s="32">
        <f t="shared" si="7"/>
        <v>0</v>
      </c>
      <c r="N53" s="32">
        <f t="shared" si="8"/>
        <v>0</v>
      </c>
      <c r="O53" s="32">
        <f t="shared" si="9"/>
        <v>1</v>
      </c>
      <c r="P53" s="33"/>
      <c r="Q53" s="33"/>
      <c r="R53" s="33"/>
      <c r="S53" s="33">
        <v>1.2</v>
      </c>
      <c r="T53" s="29" t="s">
        <v>601</v>
      </c>
    </row>
    <row r="54" spans="1:20" ht="26.65" customHeight="1" x14ac:dyDescent="0.25">
      <c r="A54" s="30">
        <f>IF('事件总表（增强版）'!A54="","",ROW()-1)</f>
        <v>53</v>
      </c>
      <c r="B54" s="29" t="str">
        <f>IF('事件总表（增强版）'!A54="","",'事件总表（增强版）'!A54)</f>
        <v>发改委宣布在人工智能+基础设施领域扩大有效投资</v>
      </c>
      <c r="C54" s="29" t="str">
        <f>IF('事件总表（增强版）'!B54="","",'事件总表（增强版）'!B54)</f>
        <v>政策</v>
      </c>
      <c r="D54" s="31" t="str">
        <f>IF('事件总表（增强版）'!C54="","",'事件总表（增强版）'!C54)</f>
        <v>2026-04-17</v>
      </c>
      <c r="E54" s="32">
        <f>IF('事件总表（增强版）'!D54="","",'事件总表（增强版）'!D54)</f>
        <v>-1</v>
      </c>
      <c r="F54" s="32">
        <f>IF('事件总表（增强版）'!E54="","",'事件总表（增强版）'!E54)</f>
        <v>5</v>
      </c>
      <c r="G54" s="32">
        <f>IF('事件总表（增强版）'!A54="","",F54-E54+1)</f>
        <v>7</v>
      </c>
      <c r="H54" s="29" t="str">
        <f>IF('事件总表（增强版）'!F54="","",'事件总表（增强版）'!F54)</f>
        <v>低</v>
      </c>
      <c r="I54" s="32">
        <f t="shared" si="5"/>
        <v>1</v>
      </c>
      <c r="J54" s="32" t="str">
        <f>IF('事件总表（增强版）'!G54="","",'事件总表（增强版）'!G54)</f>
        <v>正面</v>
      </c>
      <c r="K54" s="32">
        <f t="shared" si="6"/>
        <v>1</v>
      </c>
      <c r="L54" s="32">
        <v>1</v>
      </c>
      <c r="M54" s="32">
        <f t="shared" si="7"/>
        <v>0</v>
      </c>
      <c r="N54" s="32">
        <f t="shared" si="8"/>
        <v>0</v>
      </c>
      <c r="O54" s="32">
        <f t="shared" si="9"/>
        <v>1</v>
      </c>
      <c r="P54" s="33"/>
      <c r="Q54" s="33"/>
      <c r="R54" s="33"/>
      <c r="S54" s="33">
        <v>1.8</v>
      </c>
      <c r="T54" s="29" t="s">
        <v>601</v>
      </c>
    </row>
    <row r="55" spans="1:20" ht="26.65" customHeight="1" x14ac:dyDescent="0.25">
      <c r="A55" s="30">
        <f>IF('事件总表（增强版）'!A55="","",ROW()-1)</f>
        <v>54</v>
      </c>
      <c r="B55" s="29" t="str">
        <f>IF('事件总表（增强版）'!A55="","",'事件总表（增强版）'!A55)</f>
        <v>国务院发布关于深入实施人工智能+行动的意见</v>
      </c>
      <c r="C55" s="29" t="str">
        <f>IF('事件总表（增强版）'!B55="","",'事件总表（增强版）'!B55)</f>
        <v>政策</v>
      </c>
      <c r="D55" s="31" t="str">
        <f>IF('事件总表（增强版）'!C55="","",'事件总表（增强版）'!C55)</f>
        <v>2025-08-26</v>
      </c>
      <c r="E55" s="32">
        <f>IF('事件总表（增强版）'!D55="","",'事件总表（增强版）'!D55)</f>
        <v>-1</v>
      </c>
      <c r="F55" s="32">
        <f>IF('事件总表（增强版）'!E55="","",'事件总表（增强版）'!E55)</f>
        <v>5</v>
      </c>
      <c r="G55" s="32">
        <f>IF('事件总表（增强版）'!A55="","",F55-E55+1)</f>
        <v>7</v>
      </c>
      <c r="H55" s="29" t="str">
        <f>IF('事件总表（增强版）'!F55="","",'事件总表（增强版）'!F55)</f>
        <v>低</v>
      </c>
      <c r="I55" s="32">
        <f t="shared" si="5"/>
        <v>1</v>
      </c>
      <c r="J55" s="32" t="str">
        <f>IF('事件总表（增强版）'!G55="","",'事件总表（增强版）'!G55)</f>
        <v>正面</v>
      </c>
      <c r="K55" s="32">
        <f t="shared" si="6"/>
        <v>1</v>
      </c>
      <c r="L55" s="32">
        <v>1</v>
      </c>
      <c r="M55" s="32">
        <f t="shared" si="7"/>
        <v>0</v>
      </c>
      <c r="N55" s="32">
        <f t="shared" si="8"/>
        <v>0</v>
      </c>
      <c r="O55" s="32">
        <f t="shared" si="9"/>
        <v>1</v>
      </c>
      <c r="P55" s="33"/>
      <c r="Q55" s="33"/>
      <c r="R55" s="33"/>
      <c r="S55" s="33">
        <v>2</v>
      </c>
      <c r="T55" s="29" t="s">
        <v>601</v>
      </c>
    </row>
    <row r="56" spans="1:20" ht="26.65" customHeight="1" x14ac:dyDescent="0.25">
      <c r="A56" s="30">
        <f>IF('事件总表（增强版）'!A56="","",ROW()-1)</f>
        <v>55</v>
      </c>
      <c r="B56" s="29" t="str">
        <f>IF('事件总表（增强版）'!A56="","",'事件总表（增强版）'!A56)</f>
        <v>政府工作报告提出促进新一代智能终端和智能体加快推广</v>
      </c>
      <c r="C56" s="29" t="str">
        <f>IF('事件总表（增强版）'!B56="","",'事件总表（增强版）'!B56)</f>
        <v>政策</v>
      </c>
      <c r="D56" s="31" t="str">
        <f>IF('事件总表（增强版）'!C56="","",'事件总表（增强版）'!C56)</f>
        <v>2026-03-05</v>
      </c>
      <c r="E56" s="32">
        <f>IF('事件总表（增强版）'!D56="","",'事件总表（增强版）'!D56)</f>
        <v>-1</v>
      </c>
      <c r="F56" s="32">
        <f>IF('事件总表（增强版）'!E56="","",'事件总表（增强版）'!E56)</f>
        <v>5</v>
      </c>
      <c r="G56" s="32">
        <f>IF('事件总表（增强版）'!A56="","",F56-E56+1)</f>
        <v>7</v>
      </c>
      <c r="H56" s="29" t="str">
        <f>IF('事件总表（增强版）'!F56="","",'事件总表（增强版）'!F56)</f>
        <v>低</v>
      </c>
      <c r="I56" s="32">
        <f t="shared" si="5"/>
        <v>1</v>
      </c>
      <c r="J56" s="32" t="str">
        <f>IF('事件总表（增强版）'!G56="","",'事件总表（增强版）'!G56)</f>
        <v>正面</v>
      </c>
      <c r="K56" s="32">
        <f t="shared" si="6"/>
        <v>1</v>
      </c>
      <c r="L56" s="32">
        <v>1</v>
      </c>
      <c r="M56" s="32">
        <f t="shared" si="7"/>
        <v>0</v>
      </c>
      <c r="N56" s="32">
        <f t="shared" si="8"/>
        <v>0</v>
      </c>
      <c r="O56" s="32">
        <f t="shared" si="9"/>
        <v>1</v>
      </c>
      <c r="P56" s="33"/>
      <c r="Q56" s="33"/>
      <c r="R56" s="33"/>
      <c r="S56" s="33">
        <v>1.5</v>
      </c>
      <c r="T56" s="29" t="s">
        <v>601</v>
      </c>
    </row>
    <row r="57" spans="1:20" ht="26.65" customHeight="1" x14ac:dyDescent="0.25">
      <c r="A57" s="30">
        <f>IF('事件总表（增强版）'!A57="","",ROW()-1)</f>
        <v>56</v>
      </c>
      <c r="B57" s="29" t="str">
        <f>IF('事件总表（增强版）'!A57="","",'事件总表（增强版）'!A57)</f>
        <v>教育部等五部门印发人工智能+教育行动计划</v>
      </c>
      <c r="C57" s="29" t="str">
        <f>IF('事件总表（增强版）'!B57="","",'事件总表（增强版）'!B57)</f>
        <v>政策</v>
      </c>
      <c r="D57" s="31" t="str">
        <f>IF('事件总表（增强版）'!C57="","",'事件总表（增强版）'!C57)</f>
        <v>2026-04-10</v>
      </c>
      <c r="E57" s="32">
        <f>IF('事件总表（增强版）'!D57="","",'事件总表（增强版）'!D57)</f>
        <v>-1</v>
      </c>
      <c r="F57" s="32">
        <f>IF('事件总表（增强版）'!E57="","",'事件总表（增强版）'!E57)</f>
        <v>5</v>
      </c>
      <c r="G57" s="32">
        <f>IF('事件总表（增强版）'!A57="","",F57-E57+1)</f>
        <v>7</v>
      </c>
      <c r="H57" s="29" t="str">
        <f>IF('事件总表（增强版）'!F57="","",'事件总表（增强版）'!F57)</f>
        <v>低</v>
      </c>
      <c r="I57" s="32">
        <f t="shared" si="5"/>
        <v>1</v>
      </c>
      <c r="J57" s="32" t="str">
        <f>IF('事件总表（增强版）'!G57="","",'事件总表（增强版）'!G57)</f>
        <v>正面</v>
      </c>
      <c r="K57" s="32">
        <f t="shared" si="6"/>
        <v>1</v>
      </c>
      <c r="L57" s="32">
        <v>1</v>
      </c>
      <c r="M57" s="32">
        <f t="shared" si="7"/>
        <v>0</v>
      </c>
      <c r="N57" s="32">
        <f t="shared" si="8"/>
        <v>0</v>
      </c>
      <c r="O57" s="32">
        <f t="shared" si="9"/>
        <v>1</v>
      </c>
      <c r="P57" s="33"/>
      <c r="Q57" s="33"/>
      <c r="R57" s="33"/>
      <c r="S57" s="33">
        <v>1.1000000000000001</v>
      </c>
      <c r="T57" s="29" t="s">
        <v>601</v>
      </c>
    </row>
    <row r="58" spans="1:20" ht="26.65" customHeight="1" x14ac:dyDescent="0.25">
      <c r="A58" s="30">
        <f>IF('事件总表（增强版）'!A58="","",ROW()-1)</f>
        <v>57</v>
      </c>
      <c r="B58" s="29" t="str">
        <f>IF('事件总表（增强版）'!A58="","",'事件总表（增强版）'!A58)</f>
        <v>证监会发布证券期货市场监督管理措施实施办法</v>
      </c>
      <c r="C58" s="29" t="str">
        <f>IF('事件总表（增强版）'!B58="","",'事件总表（增强版）'!B58)</f>
        <v>政策</v>
      </c>
      <c r="D58" s="31" t="str">
        <f>IF('事件总表（增强版）'!C58="","",'事件总表（增强版）'!C58)</f>
        <v>2025-12-31</v>
      </c>
      <c r="E58" s="32">
        <f>IF('事件总表（增强版）'!D58="","",'事件总表（增强版）'!D58)</f>
        <v>-1</v>
      </c>
      <c r="F58" s="32">
        <f>IF('事件总表（增强版）'!E58="","",'事件总表（增强版）'!E58)</f>
        <v>5</v>
      </c>
      <c r="G58" s="32">
        <f>IF('事件总表（增强版）'!A58="","",F58-E58+1)</f>
        <v>7</v>
      </c>
      <c r="H58" s="29" t="str">
        <f>IF('事件总表（增强版）'!F58="","",'事件总表（增强版）'!F58)</f>
        <v>低</v>
      </c>
      <c r="I58" s="32">
        <f t="shared" si="5"/>
        <v>1</v>
      </c>
      <c r="J58" s="32" t="str">
        <f>IF('事件总表（增强版）'!G58="","",'事件总表（增强版）'!G58)</f>
        <v>正面</v>
      </c>
      <c r="K58" s="32">
        <f t="shared" si="6"/>
        <v>1</v>
      </c>
      <c r="L58" s="32">
        <v>1</v>
      </c>
      <c r="M58" s="32">
        <f t="shared" si="7"/>
        <v>0</v>
      </c>
      <c r="N58" s="32">
        <f t="shared" si="8"/>
        <v>0</v>
      </c>
      <c r="O58" s="32">
        <f t="shared" si="9"/>
        <v>1</v>
      </c>
      <c r="P58" s="33"/>
      <c r="Q58" s="33"/>
      <c r="R58" s="33"/>
      <c r="S58" s="33">
        <v>0.8</v>
      </c>
      <c r="T58" s="29" t="s">
        <v>601</v>
      </c>
    </row>
    <row r="59" spans="1:20" ht="26.65" customHeight="1" x14ac:dyDescent="0.25">
      <c r="A59" s="30">
        <f>IF('事件总表（增强版）'!A59="","",ROW()-1)</f>
        <v>58</v>
      </c>
      <c r="B59" s="29" t="str">
        <f>IF('事件总表（增强版）'!A59="","",'事件总表（增强版）'!A59)</f>
        <v>网信办等三部门印发智能体规范应用与创新发展实施意见</v>
      </c>
      <c r="C59" s="29" t="str">
        <f>IF('事件总表（增强版）'!B59="","",'事件总表（增强版）'!B59)</f>
        <v>政策</v>
      </c>
      <c r="D59" s="31" t="str">
        <f>IF('事件总表（增强版）'!C59="","",'事件总表（增强版）'!C59)</f>
        <v>2026-05-08</v>
      </c>
      <c r="E59" s="32">
        <f>IF('事件总表（增强版）'!D59="","",'事件总表（增强版）'!D59)</f>
        <v>-1</v>
      </c>
      <c r="F59" s="32">
        <f>IF('事件总表（增强版）'!E59="","",'事件总表（增强版）'!E59)</f>
        <v>5</v>
      </c>
      <c r="G59" s="32">
        <f>IF('事件总表（增强版）'!A59="","",F59-E59+1)</f>
        <v>7</v>
      </c>
      <c r="H59" s="29" t="str">
        <f>IF('事件总表（增强版）'!F59="","",'事件总表（增强版）'!F59)</f>
        <v>低</v>
      </c>
      <c r="I59" s="32">
        <f t="shared" si="5"/>
        <v>1</v>
      </c>
      <c r="J59" s="32" t="str">
        <f>IF('事件总表（增强版）'!G59="","",'事件总表（增强版）'!G59)</f>
        <v>正面</v>
      </c>
      <c r="K59" s="32">
        <f t="shared" si="6"/>
        <v>1</v>
      </c>
      <c r="L59" s="32">
        <v>1</v>
      </c>
      <c r="M59" s="32">
        <f t="shared" si="7"/>
        <v>0</v>
      </c>
      <c r="N59" s="32">
        <f t="shared" si="8"/>
        <v>0</v>
      </c>
      <c r="O59" s="32">
        <f t="shared" si="9"/>
        <v>1</v>
      </c>
      <c r="P59" s="33"/>
      <c r="Q59" s="33"/>
      <c r="R59" s="33"/>
      <c r="S59" s="33">
        <v>1.4</v>
      </c>
      <c r="T59" s="29" t="s">
        <v>601</v>
      </c>
    </row>
    <row r="60" spans="1:20" ht="26.65" customHeight="1" x14ac:dyDescent="0.25">
      <c r="A60" s="30">
        <f>IF('事件总表（增强版）'!A60="","",ROW()-1)</f>
        <v>59</v>
      </c>
      <c r="B60" s="29" t="str">
        <f>IF('事件总表（增强版）'!A60="","",'事件总表（增强版）'!A60)</f>
        <v>发改委印发国家产业技术工程化中心管理办法</v>
      </c>
      <c r="C60" s="29" t="str">
        <f>IF('事件总表（增强版）'!B60="","",'事件总表（增强版）'!B60)</f>
        <v>政策</v>
      </c>
      <c r="D60" s="31" t="str">
        <f>IF('事件总表（增强版）'!C60="","",'事件总表（增强版）'!C60)</f>
        <v>2026-01-23</v>
      </c>
      <c r="E60" s="32">
        <f>IF('事件总表（增强版）'!D60="","",'事件总表（增强版）'!D60)</f>
        <v>-1</v>
      </c>
      <c r="F60" s="32">
        <f>IF('事件总表（增强版）'!E60="","",'事件总表（增强版）'!E60)</f>
        <v>5</v>
      </c>
      <c r="G60" s="32">
        <f>IF('事件总表（增强版）'!A60="","",F60-E60+1)</f>
        <v>7</v>
      </c>
      <c r="H60" s="29" t="str">
        <f>IF('事件总表（增强版）'!F60="","",'事件总表（增强版）'!F60)</f>
        <v>低</v>
      </c>
      <c r="I60" s="32">
        <f t="shared" si="5"/>
        <v>1</v>
      </c>
      <c r="J60" s="32" t="str">
        <f>IF('事件总表（增强版）'!G60="","",'事件总表（增强版）'!G60)</f>
        <v>正面</v>
      </c>
      <c r="K60" s="32">
        <f t="shared" si="6"/>
        <v>1</v>
      </c>
      <c r="L60" s="32">
        <v>1</v>
      </c>
      <c r="M60" s="32">
        <f t="shared" si="7"/>
        <v>0</v>
      </c>
      <c r="N60" s="32">
        <f t="shared" si="8"/>
        <v>0</v>
      </c>
      <c r="O60" s="32">
        <f t="shared" si="9"/>
        <v>1</v>
      </c>
      <c r="P60" s="33"/>
      <c r="Q60" s="33"/>
      <c r="R60" s="33"/>
      <c r="S60" s="33">
        <v>1</v>
      </c>
      <c r="T60" s="29" t="s">
        <v>601</v>
      </c>
    </row>
    <row r="61" spans="1:20" ht="26.65" customHeight="1" x14ac:dyDescent="0.25">
      <c r="A61" s="30">
        <f>IF('事件总表（增强版）'!A61="","",ROW()-1)</f>
        <v>60</v>
      </c>
      <c r="B61" s="29" t="str">
        <f>IF('事件总表（增强版）'!A61="","",'事件总表（增强版）'!A61)</f>
        <v>财政部等发布2026-2027年新能源车减免购置税技术要求</v>
      </c>
      <c r="C61" s="29" t="str">
        <f>IF('事件总表（增强版）'!B61="","",'事件总表（增强版）'!B61)</f>
        <v>政策</v>
      </c>
      <c r="D61" s="31" t="str">
        <f>IF('事件总表（增强版）'!C61="","",'事件总表（增强版）'!C61)</f>
        <v>2025-10-10</v>
      </c>
      <c r="E61" s="32">
        <f>IF('事件总表（增强版）'!D61="","",'事件总表（增强版）'!D61)</f>
        <v>-1</v>
      </c>
      <c r="F61" s="32">
        <f>IF('事件总表（增强版）'!E61="","",'事件总表（增强版）'!E61)</f>
        <v>5</v>
      </c>
      <c r="G61" s="32">
        <f>IF('事件总表（增强版）'!A61="","",F61-E61+1)</f>
        <v>7</v>
      </c>
      <c r="H61" s="29" t="str">
        <f>IF('事件总表（增强版）'!F61="","",'事件总表（增强版）'!F61)</f>
        <v>低</v>
      </c>
      <c r="I61" s="32">
        <f t="shared" si="5"/>
        <v>1</v>
      </c>
      <c r="J61" s="32" t="str">
        <f>IF('事件总表（增强版）'!G61="","",'事件总表（增强版）'!G61)</f>
        <v>正面</v>
      </c>
      <c r="K61" s="32">
        <f t="shared" si="6"/>
        <v>1</v>
      </c>
      <c r="L61" s="32">
        <v>1</v>
      </c>
      <c r="M61" s="32">
        <f t="shared" si="7"/>
        <v>0</v>
      </c>
      <c r="N61" s="32">
        <f t="shared" si="8"/>
        <v>0</v>
      </c>
      <c r="O61" s="32">
        <f t="shared" si="9"/>
        <v>1</v>
      </c>
      <c r="P61" s="33"/>
      <c r="Q61" s="33"/>
      <c r="R61" s="33"/>
      <c r="S61" s="33">
        <v>1.3</v>
      </c>
      <c r="T61" s="29" t="s">
        <v>601</v>
      </c>
    </row>
    <row r="62" spans="1:20" ht="26.65" customHeight="1" x14ac:dyDescent="0.25">
      <c r="A62" s="30">
        <f>IF('事件总表（增强版）'!A62="","",ROW()-1)</f>
        <v>61</v>
      </c>
      <c r="B62" s="29" t="str">
        <f>IF('事件总表（增强版）'!A62="","",'事件总表（增强版）'!A62)</f>
        <v>发改委印发电力中长期市场基本规则</v>
      </c>
      <c r="C62" s="29" t="str">
        <f>IF('事件总表（增强版）'!B62="","",'事件总表（增强版）'!B62)</f>
        <v>政策</v>
      </c>
      <c r="D62" s="31" t="str">
        <f>IF('事件总表（增强版）'!C62="","",'事件总表（增强版）'!C62)</f>
        <v>2026-03-01</v>
      </c>
      <c r="E62" s="32">
        <f>IF('事件总表（增强版）'!D62="","",'事件总表（增强版）'!D62)</f>
        <v>-1</v>
      </c>
      <c r="F62" s="32">
        <f>IF('事件总表（增强版）'!E62="","",'事件总表（增强版）'!E62)</f>
        <v>5</v>
      </c>
      <c r="G62" s="32">
        <f>IF('事件总表（增强版）'!A62="","",F62-E62+1)</f>
        <v>7</v>
      </c>
      <c r="H62" s="29" t="str">
        <f>IF('事件总表（增强版）'!F62="","",'事件总表（增强版）'!F62)</f>
        <v>低</v>
      </c>
      <c r="I62" s="32">
        <f t="shared" si="5"/>
        <v>1</v>
      </c>
      <c r="J62" s="32" t="str">
        <f>IF('事件总表（增强版）'!G62="","",'事件总表（增强版）'!G62)</f>
        <v>正面</v>
      </c>
      <c r="K62" s="32">
        <f t="shared" si="6"/>
        <v>1</v>
      </c>
      <c r="L62" s="32">
        <v>1</v>
      </c>
      <c r="M62" s="32">
        <f t="shared" si="7"/>
        <v>0</v>
      </c>
      <c r="N62" s="32">
        <f t="shared" si="8"/>
        <v>0</v>
      </c>
      <c r="O62" s="32">
        <f t="shared" si="9"/>
        <v>1</v>
      </c>
      <c r="P62" s="33"/>
      <c r="Q62" s="33"/>
      <c r="R62" s="33"/>
      <c r="S62" s="33">
        <v>1</v>
      </c>
      <c r="T62" s="29" t="s">
        <v>601</v>
      </c>
    </row>
    <row r="63" spans="1:20" ht="26.65" customHeight="1" x14ac:dyDescent="0.25">
      <c r="A63" s="30">
        <f>IF('事件总表（增强版）'!A63="","",ROW()-1)</f>
        <v>62</v>
      </c>
      <c r="B63" s="29" t="str">
        <f>IF('事件总表（增强版）'!A63="","",'事件总表（增强版）'!A63)</f>
        <v>发改委发布互联网平台价格行为规则</v>
      </c>
      <c r="C63" s="29" t="str">
        <f>IF('事件总表（增强版）'!B63="","",'事件总表（增强版）'!B63)</f>
        <v>政策</v>
      </c>
      <c r="D63" s="31" t="str">
        <f>IF('事件总表（增强版）'!C63="","",'事件总表（增强版）'!C63)</f>
        <v>2026-04-10</v>
      </c>
      <c r="E63" s="32">
        <f>IF('事件总表（增强版）'!D63="","",'事件总表（增强版）'!D63)</f>
        <v>-1</v>
      </c>
      <c r="F63" s="32">
        <f>IF('事件总表（增强版）'!E63="","",'事件总表（增强版）'!E63)</f>
        <v>5</v>
      </c>
      <c r="G63" s="32">
        <f>IF('事件总表（增强版）'!A63="","",F63-E63+1)</f>
        <v>7</v>
      </c>
      <c r="H63" s="29" t="str">
        <f>IF('事件总表（增强版）'!F63="","",'事件总表（增强版）'!F63)</f>
        <v>低</v>
      </c>
      <c r="I63" s="32">
        <f t="shared" si="5"/>
        <v>1</v>
      </c>
      <c r="J63" s="32" t="str">
        <f>IF('事件总表（增强版）'!G63="","",'事件总表（增强版）'!G63)</f>
        <v>正面</v>
      </c>
      <c r="K63" s="32">
        <f t="shared" si="6"/>
        <v>1</v>
      </c>
      <c r="L63" s="32">
        <v>1</v>
      </c>
      <c r="M63" s="32">
        <f t="shared" si="7"/>
        <v>0</v>
      </c>
      <c r="N63" s="32">
        <f t="shared" si="8"/>
        <v>0</v>
      </c>
      <c r="O63" s="32">
        <f t="shared" si="9"/>
        <v>1</v>
      </c>
      <c r="P63" s="33"/>
      <c r="Q63" s="33"/>
      <c r="R63" s="33"/>
      <c r="S63" s="33">
        <v>0.7</v>
      </c>
      <c r="T63" s="29" t="s">
        <v>601</v>
      </c>
    </row>
    <row r="64" spans="1:20" ht="26.65" customHeight="1" x14ac:dyDescent="0.25">
      <c r="A64" s="30">
        <f>IF('事件总表（增强版）'!A64="","",ROW()-1)</f>
        <v>63</v>
      </c>
      <c r="B64" s="29" t="str">
        <f>IF('事件总表（增强版）'!A64="","",'事件总表（增强版）'!A64)</f>
        <v>发改委计划报告提出深入推进数字中国建设</v>
      </c>
      <c r="C64" s="29" t="str">
        <f>IF('事件总表（增强版）'!B64="","",'事件总表（增强版）'!B64)</f>
        <v>政策</v>
      </c>
      <c r="D64" s="31" t="str">
        <f>IF('事件总表（增强版）'!C64="","",'事件总表（增强版）'!C64)</f>
        <v>2026-03-05</v>
      </c>
      <c r="E64" s="32">
        <f>IF('事件总表（增强版）'!D64="","",'事件总表（增强版）'!D64)</f>
        <v>-1</v>
      </c>
      <c r="F64" s="32">
        <f>IF('事件总表（增强版）'!E64="","",'事件总表（增强版）'!E64)</f>
        <v>5</v>
      </c>
      <c r="G64" s="32">
        <f>IF('事件总表（增强版）'!A64="","",F64-E64+1)</f>
        <v>7</v>
      </c>
      <c r="H64" s="29" t="str">
        <f>IF('事件总表（增强版）'!F64="","",'事件总表（增强版）'!F64)</f>
        <v>低</v>
      </c>
      <c r="I64" s="32">
        <f t="shared" si="5"/>
        <v>1</v>
      </c>
      <c r="J64" s="32" t="str">
        <f>IF('事件总表（增强版）'!G64="","",'事件总表（增强版）'!G64)</f>
        <v>正面</v>
      </c>
      <c r="K64" s="32">
        <f t="shared" si="6"/>
        <v>1</v>
      </c>
      <c r="L64" s="32">
        <v>1</v>
      </c>
      <c r="M64" s="32">
        <f t="shared" si="7"/>
        <v>0</v>
      </c>
      <c r="N64" s="32">
        <f t="shared" si="8"/>
        <v>0</v>
      </c>
      <c r="O64" s="32">
        <f t="shared" si="9"/>
        <v>1</v>
      </c>
      <c r="P64" s="33"/>
      <c r="Q64" s="33"/>
      <c r="R64" s="33"/>
      <c r="S64" s="33">
        <v>1.5</v>
      </c>
      <c r="T64" s="29" t="s">
        <v>601</v>
      </c>
    </row>
    <row r="65" spans="1:20" ht="26.65" customHeight="1" x14ac:dyDescent="0.25">
      <c r="A65" s="30">
        <f>IF('事件总表（增强版）'!A65="","",ROW()-1)</f>
        <v>64</v>
      </c>
      <c r="B65" s="29" t="str">
        <f>IF('事件总表（增强版）'!A65="","",'事件总表（增强版）'!A65)</f>
        <v>中央预算内投资补助和贴息项目管理办法修订发布</v>
      </c>
      <c r="C65" s="29" t="str">
        <f>IF('事件总表（增强版）'!B65="","",'事件总表（增强版）'!B65)</f>
        <v>政策</v>
      </c>
      <c r="D65" s="31" t="str">
        <f>IF('事件总表（增强版）'!C65="","",'事件总表（增强版）'!C65)</f>
        <v>2026-01-09</v>
      </c>
      <c r="E65" s="32">
        <f>IF('事件总表（增强版）'!D65="","",'事件总表（增强版）'!D65)</f>
        <v>-1</v>
      </c>
      <c r="F65" s="32">
        <f>IF('事件总表（增强版）'!E65="","",'事件总表（增强版）'!E65)</f>
        <v>5</v>
      </c>
      <c r="G65" s="32">
        <f>IF('事件总表（增强版）'!A65="","",F65-E65+1)</f>
        <v>7</v>
      </c>
      <c r="H65" s="29" t="str">
        <f>IF('事件总表（增强版）'!F65="","",'事件总表（增强版）'!F65)</f>
        <v>低</v>
      </c>
      <c r="I65" s="32">
        <f t="shared" si="5"/>
        <v>1</v>
      </c>
      <c r="J65" s="32" t="str">
        <f>IF('事件总表（增强版）'!G65="","",'事件总表（增强版）'!G65)</f>
        <v>正面</v>
      </c>
      <c r="K65" s="32">
        <f t="shared" si="6"/>
        <v>1</v>
      </c>
      <c r="L65" s="32">
        <v>1</v>
      </c>
      <c r="M65" s="32">
        <f t="shared" si="7"/>
        <v>0</v>
      </c>
      <c r="N65" s="32">
        <f t="shared" si="8"/>
        <v>0</v>
      </c>
      <c r="O65" s="32">
        <f t="shared" si="9"/>
        <v>1</v>
      </c>
      <c r="P65" s="33"/>
      <c r="Q65" s="33"/>
      <c r="R65" s="33"/>
      <c r="S65" s="33">
        <v>0.9</v>
      </c>
      <c r="T65" s="29" t="s">
        <v>601</v>
      </c>
    </row>
    <row r="66" spans="1:20" ht="26.65" customHeight="1" x14ac:dyDescent="0.25">
      <c r="A66" s="30">
        <f>IF('事件总表（增强版）'!A66="","",ROW()-1)</f>
        <v>65</v>
      </c>
      <c r="B66" s="29" t="str">
        <f>IF('事件总表（增强版）'!A66="","",'事件总表（增强版）'!A66)</f>
        <v>国家卫健委推进生物医学新技术临床研究和转化应用管理条例实施</v>
      </c>
      <c r="C66" s="29" t="str">
        <f>IF('事件总表（增强版）'!B66="","",'事件总表（增强版）'!B66)</f>
        <v>政策</v>
      </c>
      <c r="D66" s="31" t="str">
        <f>IF('事件总表（增强版）'!C66="","",'事件总表（增强版）'!C66)</f>
        <v>2026-05-01</v>
      </c>
      <c r="E66" s="32">
        <f>IF('事件总表（增强版）'!D66="","",'事件总表（增强版）'!D66)</f>
        <v>-1</v>
      </c>
      <c r="F66" s="32">
        <f>IF('事件总表（增强版）'!E66="","",'事件总表（增强版）'!E66)</f>
        <v>5</v>
      </c>
      <c r="G66" s="32">
        <f>IF('事件总表（增强版）'!A66="","",F66-E66+1)</f>
        <v>7</v>
      </c>
      <c r="H66" s="29" t="str">
        <f>IF('事件总表（增强版）'!F66="","",'事件总表（增强版）'!F66)</f>
        <v>低</v>
      </c>
      <c r="I66" s="32">
        <f t="shared" ref="I66:I97" si="10">IF(H66="高",3,IF(H66="中",2,IF(H66="低",1,"")))</f>
        <v>1</v>
      </c>
      <c r="J66" s="32" t="str">
        <f>IF('事件总表（增强版）'!G66="","",'事件总表（增强版）'!G66)</f>
        <v>正面</v>
      </c>
      <c r="K66" s="32">
        <f t="shared" ref="K66:K97" si="11">IF(J66="正面",1,IF(J66="负面",-1,IF(J66="双向",0,"")))</f>
        <v>1</v>
      </c>
      <c r="L66" s="32">
        <v>1</v>
      </c>
      <c r="M66" s="32">
        <f t="shared" ref="M66:M100" si="12">IF(C66="宏观/地缘",1,0)</f>
        <v>0</v>
      </c>
      <c r="N66" s="32">
        <f t="shared" ref="N66:N100" si="13">IF(C66="行业/技术",1,0)</f>
        <v>0</v>
      </c>
      <c r="O66" s="32">
        <f t="shared" ref="O66:O100" si="14">IF(C66="政策",1,0)</f>
        <v>1</v>
      </c>
      <c r="P66" s="33"/>
      <c r="Q66" s="33"/>
      <c r="R66" s="33"/>
      <c r="S66" s="33">
        <v>1.1000000000000001</v>
      </c>
      <c r="T66" s="29" t="s">
        <v>601</v>
      </c>
    </row>
    <row r="67" spans="1:20" ht="26.65" customHeight="1" x14ac:dyDescent="0.25">
      <c r="A67" s="30">
        <f>IF('事件总表（增强版）'!A67="","",ROW()-1)</f>
        <v>66</v>
      </c>
      <c r="B67" s="29" t="str">
        <f>IF('事件总表（增强版）'!A67="","",'事件总表（增强版）'!A67)</f>
        <v>六部门印发机械行业稳增长工作方案（2025—2026年）</v>
      </c>
      <c r="C67" s="29" t="str">
        <f>IF('事件总表（增强版）'!B67="","",'事件总表（增强版）'!B67)</f>
        <v>政策</v>
      </c>
      <c r="D67" s="31" t="str">
        <f>IF('事件总表（增强版）'!C67="","",'事件总表（增强版）'!C67)</f>
        <v>2025-09-30</v>
      </c>
      <c r="E67" s="32">
        <f>IF('事件总表（增强版）'!D67="","",'事件总表（增强版）'!D67)</f>
        <v>-1</v>
      </c>
      <c r="F67" s="32">
        <f>IF('事件总表（增强版）'!E67="","",'事件总表（增强版）'!E67)</f>
        <v>5</v>
      </c>
      <c r="G67" s="32">
        <f>IF('事件总表（增强版）'!A67="","",F67-E67+1)</f>
        <v>7</v>
      </c>
      <c r="H67" s="29" t="str">
        <f>IF('事件总表（增强版）'!F67="","",'事件总表（增强版）'!F67)</f>
        <v>低</v>
      </c>
      <c r="I67" s="32">
        <f t="shared" si="10"/>
        <v>1</v>
      </c>
      <c r="J67" s="32" t="str">
        <f>IF('事件总表（增强版）'!G67="","",'事件总表（增强版）'!G67)</f>
        <v>正面</v>
      </c>
      <c r="K67" s="32">
        <f t="shared" si="11"/>
        <v>1</v>
      </c>
      <c r="L67" s="32">
        <v>1</v>
      </c>
      <c r="M67" s="32">
        <f t="shared" si="12"/>
        <v>0</v>
      </c>
      <c r="N67" s="32">
        <f t="shared" si="13"/>
        <v>0</v>
      </c>
      <c r="O67" s="32">
        <f t="shared" si="14"/>
        <v>1</v>
      </c>
      <c r="P67" s="33"/>
      <c r="Q67" s="33"/>
      <c r="R67" s="33"/>
      <c r="S67" s="33">
        <v>1.6</v>
      </c>
      <c r="T67" s="29" t="s">
        <v>601</v>
      </c>
    </row>
    <row r="68" spans="1:20" ht="26.65" customHeight="1" x14ac:dyDescent="0.25">
      <c r="A68" s="30">
        <f>IF('事件总表（增强版）'!A68="","",ROW()-1)</f>
        <v>67</v>
      </c>
      <c r="B68" s="29" t="str">
        <f>IF('事件总表（增强版）'!A68="","",'事件总表（增强版）'!A68)</f>
        <v>发改委财政部印发2026年实施大规模设备更新和消费品以旧换新政策通知</v>
      </c>
      <c r="C68" s="29" t="str">
        <f>IF('事件总表（增强版）'!B68="","",'事件总表（增强版）'!B68)</f>
        <v>政策</v>
      </c>
      <c r="D68" s="31" t="str">
        <f>IF('事件总表（增强版）'!C68="","",'事件总表（增强版）'!C68)</f>
        <v>2025-12-30</v>
      </c>
      <c r="E68" s="32">
        <f>IF('事件总表（增强版）'!D68="","",'事件总表（增强版）'!D68)</f>
        <v>-1</v>
      </c>
      <c r="F68" s="32">
        <f>IF('事件总表（增强版）'!E68="","",'事件总表（增强版）'!E68)</f>
        <v>5</v>
      </c>
      <c r="G68" s="32">
        <f>IF('事件总表（增强版）'!A68="","",F68-E68+1)</f>
        <v>7</v>
      </c>
      <c r="H68" s="29" t="str">
        <f>IF('事件总表（增强版）'!F68="","",'事件总表（增强版）'!F68)</f>
        <v>低</v>
      </c>
      <c r="I68" s="32">
        <f t="shared" si="10"/>
        <v>1</v>
      </c>
      <c r="J68" s="32" t="str">
        <f>IF('事件总表（增强版）'!G68="","",'事件总表（增强版）'!G68)</f>
        <v>正面</v>
      </c>
      <c r="K68" s="32">
        <f t="shared" si="11"/>
        <v>1</v>
      </c>
      <c r="L68" s="32">
        <v>1</v>
      </c>
      <c r="M68" s="32">
        <f t="shared" si="12"/>
        <v>0</v>
      </c>
      <c r="N68" s="32">
        <f t="shared" si="13"/>
        <v>0</v>
      </c>
      <c r="O68" s="32">
        <f t="shared" si="14"/>
        <v>1</v>
      </c>
      <c r="P68" s="33"/>
      <c r="Q68" s="33"/>
      <c r="R68" s="33"/>
      <c r="S68" s="33">
        <v>2.1</v>
      </c>
      <c r="T68" s="29" t="s">
        <v>601</v>
      </c>
    </row>
    <row r="69" spans="1:20" ht="26.65" customHeight="1" x14ac:dyDescent="0.25">
      <c r="A69" s="30">
        <f>IF('事件总表（增强版）'!A69="","",ROW()-1)</f>
        <v>68</v>
      </c>
      <c r="B69" s="29" t="str">
        <f>IF('事件总表（增强版）'!A69="","",'事件总表（增强版）'!A69)</f>
        <v>发改委印发节能降碳中央预算内投资专项管理办法</v>
      </c>
      <c r="C69" s="29" t="str">
        <f>IF('事件总表（增强版）'!B69="","",'事件总表（增强版）'!B69)</f>
        <v>政策</v>
      </c>
      <c r="D69" s="31" t="str">
        <f>IF('事件总表（增强版）'!C69="","",'事件总表（增强版）'!C69)</f>
        <v>2025-10-27</v>
      </c>
      <c r="E69" s="32">
        <f>IF('事件总表（增强版）'!D69="","",'事件总表（增强版）'!D69)</f>
        <v>-1</v>
      </c>
      <c r="F69" s="32">
        <f>IF('事件总表（增强版）'!E69="","",'事件总表（增强版）'!E69)</f>
        <v>5</v>
      </c>
      <c r="G69" s="32">
        <f>IF('事件总表（增强版）'!A69="","",F69-E69+1)</f>
        <v>7</v>
      </c>
      <c r="H69" s="29" t="str">
        <f>IF('事件总表（增强版）'!F69="","",'事件总表（增强版）'!F69)</f>
        <v>低</v>
      </c>
      <c r="I69" s="32">
        <f t="shared" si="10"/>
        <v>1</v>
      </c>
      <c r="J69" s="32" t="str">
        <f>IF('事件总表（增强版）'!G69="","",'事件总表（增强版）'!G69)</f>
        <v>正面</v>
      </c>
      <c r="K69" s="32">
        <f t="shared" si="11"/>
        <v>1</v>
      </c>
      <c r="L69" s="32">
        <v>1</v>
      </c>
      <c r="M69" s="32">
        <f t="shared" si="12"/>
        <v>0</v>
      </c>
      <c r="N69" s="32">
        <f t="shared" si="13"/>
        <v>0</v>
      </c>
      <c r="O69" s="32">
        <f t="shared" si="14"/>
        <v>1</v>
      </c>
      <c r="P69" s="33"/>
      <c r="Q69" s="33"/>
      <c r="R69" s="33"/>
      <c r="S69" s="33">
        <v>1.3</v>
      </c>
      <c r="T69" s="29" t="s">
        <v>601</v>
      </c>
    </row>
    <row r="70" spans="1:20" ht="26.65" customHeight="1" x14ac:dyDescent="0.25">
      <c r="A70" s="30">
        <f>IF('事件总表（增强版）'!A70="","",ROW()-1)</f>
        <v>69</v>
      </c>
      <c r="B70" s="29" t="str">
        <f>IF('事件总表（增强版）'!A70="","",'事件总表（增强版）'!A70)</f>
        <v>工信部国家数据局联合发布2026年模数共振行动通知</v>
      </c>
      <c r="C70" s="29" t="str">
        <f>IF('事件总表（增强版）'!B70="","",'事件总表（增强版）'!B70)</f>
        <v>政策</v>
      </c>
      <c r="D70" s="31" t="str">
        <f>IF('事件总表（增强版）'!C70="","",'事件总表（增强版）'!C70)</f>
        <v>2026-04-28</v>
      </c>
      <c r="E70" s="32">
        <f>IF('事件总表（增强版）'!D70="","",'事件总表（增强版）'!D70)</f>
        <v>-1</v>
      </c>
      <c r="F70" s="32">
        <f>IF('事件总表（增强版）'!E70="","",'事件总表（增强版）'!E70)</f>
        <v>5</v>
      </c>
      <c r="G70" s="32">
        <f>IF('事件总表（增强版）'!A70="","",F70-E70+1)</f>
        <v>7</v>
      </c>
      <c r="H70" s="29" t="str">
        <f>IF('事件总表（增强版）'!F70="","",'事件总表（增强版）'!F70)</f>
        <v>低</v>
      </c>
      <c r="I70" s="32">
        <f t="shared" si="10"/>
        <v>1</v>
      </c>
      <c r="J70" s="32" t="str">
        <f>IF('事件总表（增强版）'!G70="","",'事件总表（增强版）'!G70)</f>
        <v>正面</v>
      </c>
      <c r="K70" s="32">
        <f t="shared" si="11"/>
        <v>1</v>
      </c>
      <c r="L70" s="32">
        <v>1</v>
      </c>
      <c r="M70" s="32">
        <f t="shared" si="12"/>
        <v>0</v>
      </c>
      <c r="N70" s="32">
        <f t="shared" si="13"/>
        <v>0</v>
      </c>
      <c r="O70" s="32">
        <f t="shared" si="14"/>
        <v>1</v>
      </c>
      <c r="P70" s="33"/>
      <c r="Q70" s="33"/>
      <c r="R70" s="33"/>
      <c r="S70" s="33">
        <v>1.7</v>
      </c>
      <c r="T70" s="29" t="s">
        <v>601</v>
      </c>
    </row>
    <row r="71" spans="1:20" ht="26.65" customHeight="1" x14ac:dyDescent="0.25">
      <c r="A71" s="30">
        <f>IF('事件总表（增强版）'!A71="","",ROW()-1)</f>
        <v>70</v>
      </c>
      <c r="B71" s="29" t="str">
        <f>IF('事件总表（增强版）'!A71="","",'事件总表（增强版）'!A71)</f>
        <v>发改委印发国家新兴产业创新中心管理办法</v>
      </c>
      <c r="C71" s="29" t="str">
        <f>IF('事件总表（增强版）'!B71="","",'事件总表（增强版）'!B71)</f>
        <v>政策</v>
      </c>
      <c r="D71" s="31" t="str">
        <f>IF('事件总表（增强版）'!C71="","",'事件总表（增强版）'!C71)</f>
        <v>2026-01-23</v>
      </c>
      <c r="E71" s="32">
        <f>IF('事件总表（增强版）'!D71="","",'事件总表（增强版）'!D71)</f>
        <v>-1</v>
      </c>
      <c r="F71" s="32">
        <f>IF('事件总表（增强版）'!E71="","",'事件总表（增强版）'!E71)</f>
        <v>5</v>
      </c>
      <c r="G71" s="32">
        <f>IF('事件总表（增强版）'!A71="","",F71-E71+1)</f>
        <v>7</v>
      </c>
      <c r="H71" s="29" t="str">
        <f>IF('事件总表（增强版）'!F71="","",'事件总表（增强版）'!F71)</f>
        <v>低</v>
      </c>
      <c r="I71" s="32">
        <f t="shared" si="10"/>
        <v>1</v>
      </c>
      <c r="J71" s="32" t="str">
        <f>IF('事件总表（增强版）'!G71="","",'事件总表（增强版）'!G71)</f>
        <v>正面</v>
      </c>
      <c r="K71" s="32">
        <f t="shared" si="11"/>
        <v>1</v>
      </c>
      <c r="L71" s="32">
        <v>1</v>
      </c>
      <c r="M71" s="32">
        <f t="shared" si="12"/>
        <v>0</v>
      </c>
      <c r="N71" s="32">
        <f t="shared" si="13"/>
        <v>0</v>
      </c>
      <c r="O71" s="32">
        <f t="shared" si="14"/>
        <v>1</v>
      </c>
      <c r="P71" s="33"/>
      <c r="Q71" s="33"/>
      <c r="R71" s="33"/>
      <c r="S71" s="33">
        <v>1.2</v>
      </c>
      <c r="T71" s="29" t="s">
        <v>601</v>
      </c>
    </row>
    <row r="72" spans="1:20" ht="26.65" customHeight="1" x14ac:dyDescent="0.25">
      <c r="A72" s="30">
        <f>IF('事件总表（增强版）'!A72="","",ROW()-1)</f>
        <v>71</v>
      </c>
      <c r="B72" s="29" t="str">
        <f>IF('事件总表（增强版）'!A72="","",'事件总表（增强版）'!A72)</f>
        <v>发改委推进低空智能网联系统建设</v>
      </c>
      <c r="C72" s="29" t="str">
        <f>IF('事件总表（增强版）'!B72="","",'事件总表（增强版）'!B72)</f>
        <v>政策</v>
      </c>
      <c r="D72" s="31" t="str">
        <f>IF('事件总表（增强版）'!C72="","",'事件总表（增强版）'!C72)</f>
        <v>2026-02-03</v>
      </c>
      <c r="E72" s="32">
        <f>IF('事件总表（增强版）'!D72="","",'事件总表（增强版）'!D72)</f>
        <v>-1</v>
      </c>
      <c r="F72" s="32">
        <f>IF('事件总表（增强版）'!E72="","",'事件总表（增强版）'!E72)</f>
        <v>5</v>
      </c>
      <c r="G72" s="32">
        <f>IF('事件总表（增强版）'!A72="","",F72-E72+1)</f>
        <v>7</v>
      </c>
      <c r="H72" s="29" t="str">
        <f>IF('事件总表（增强版）'!F72="","",'事件总表（增强版）'!F72)</f>
        <v>低</v>
      </c>
      <c r="I72" s="32">
        <f t="shared" si="10"/>
        <v>1</v>
      </c>
      <c r="J72" s="32" t="str">
        <f>IF('事件总表（增强版）'!G72="","",'事件总表（增强版）'!G72)</f>
        <v>正面</v>
      </c>
      <c r="K72" s="32">
        <f t="shared" si="11"/>
        <v>1</v>
      </c>
      <c r="L72" s="32">
        <v>1</v>
      </c>
      <c r="M72" s="32">
        <f t="shared" si="12"/>
        <v>0</v>
      </c>
      <c r="N72" s="32">
        <f t="shared" si="13"/>
        <v>0</v>
      </c>
      <c r="O72" s="32">
        <f t="shared" si="14"/>
        <v>1</v>
      </c>
      <c r="P72" s="33"/>
      <c r="Q72" s="33"/>
      <c r="R72" s="33"/>
      <c r="S72" s="33">
        <v>1.4</v>
      </c>
      <c r="T72" s="29" t="s">
        <v>601</v>
      </c>
    </row>
    <row r="73" spans="1:20" ht="26.65" customHeight="1" x14ac:dyDescent="0.25">
      <c r="A73" s="30">
        <f>IF('事件总表（增强版）'!A73="","",ROW()-1)</f>
        <v>72</v>
      </c>
      <c r="B73" s="29" t="str">
        <f>IF('事件总表（增强版）'!A73="","",'事件总表（增强版）'!A73)</f>
        <v>国务院发文推动数据要素市场建设</v>
      </c>
      <c r="C73" s="29" t="str">
        <f>IF('事件总表（增强版）'!B73="","",'事件总表（增强版）'!B73)</f>
        <v>政策</v>
      </c>
      <c r="D73" s="31" t="str">
        <f>IF('事件总表（增强版）'!C73="","",'事件总表（增强版）'!C73)</f>
        <v>2022-12-19</v>
      </c>
      <c r="E73" s="32">
        <f>IF('事件总表（增强版）'!D73="","",'事件总表（增强版）'!D73)</f>
        <v>-1</v>
      </c>
      <c r="F73" s="32">
        <f>IF('事件总表（增强版）'!E73="","",'事件总表（增强版）'!E73)</f>
        <v>5</v>
      </c>
      <c r="G73" s="32">
        <f>IF('事件总表（增强版）'!A73="","",F73-E73+1)</f>
        <v>7</v>
      </c>
      <c r="H73" s="29" t="str">
        <f>IF('事件总表（增强版）'!F73="","",'事件总表（增强版）'!F73)</f>
        <v>低</v>
      </c>
      <c r="I73" s="32">
        <f t="shared" si="10"/>
        <v>1</v>
      </c>
      <c r="J73" s="32" t="str">
        <f>IF('事件总表（增强版）'!G73="","",'事件总表（增强版）'!G73)</f>
        <v>正面</v>
      </c>
      <c r="K73" s="32">
        <f t="shared" si="11"/>
        <v>1</v>
      </c>
      <c r="L73" s="32">
        <v>1</v>
      </c>
      <c r="M73" s="32">
        <f t="shared" si="12"/>
        <v>0</v>
      </c>
      <c r="N73" s="32">
        <f t="shared" si="13"/>
        <v>0</v>
      </c>
      <c r="O73" s="32">
        <f t="shared" si="14"/>
        <v>1</v>
      </c>
      <c r="P73" s="33"/>
      <c r="Q73" s="33"/>
      <c r="R73" s="33"/>
      <c r="S73" s="33">
        <v>2</v>
      </c>
      <c r="T73" s="29" t="s">
        <v>601</v>
      </c>
    </row>
    <row r="74" spans="1:20" ht="26.65" customHeight="1" x14ac:dyDescent="0.25">
      <c r="A74" s="30">
        <f>IF('事件总表（增强版）'!A74="","",ROW()-1)</f>
        <v>73</v>
      </c>
      <c r="B74" s="29" t="str">
        <f>IF('事件总表（增强版）'!A74="","",'事件总表（增强版）'!A74)</f>
        <v>发改委印发乡村振兴中央预算内投资专项管理办法</v>
      </c>
      <c r="C74" s="29" t="str">
        <f>IF('事件总表（增强版）'!B74="","",'事件总表（增强版）'!B74)</f>
        <v>政策</v>
      </c>
      <c r="D74" s="31" t="str">
        <f>IF('事件总表（增强版）'!C74="","",'事件总表（增强版）'!C74)</f>
        <v>2025-11-06</v>
      </c>
      <c r="E74" s="32">
        <f>IF('事件总表（增强版）'!D74="","",'事件总表（增强版）'!D74)</f>
        <v>-1</v>
      </c>
      <c r="F74" s="32">
        <f>IF('事件总表（增强版）'!E74="","",'事件总表（增强版）'!E74)</f>
        <v>5</v>
      </c>
      <c r="G74" s="32">
        <f>IF('事件总表（增强版）'!A74="","",F74-E74+1)</f>
        <v>7</v>
      </c>
      <c r="H74" s="29" t="str">
        <f>IF('事件总表（增强版）'!F74="","",'事件总表（增强版）'!F74)</f>
        <v>低</v>
      </c>
      <c r="I74" s="32">
        <f t="shared" si="10"/>
        <v>1</v>
      </c>
      <c r="J74" s="32" t="str">
        <f>IF('事件总表（增强版）'!G74="","",'事件总表（增强版）'!G74)</f>
        <v>正面</v>
      </c>
      <c r="K74" s="32">
        <f t="shared" si="11"/>
        <v>1</v>
      </c>
      <c r="L74" s="32">
        <v>1</v>
      </c>
      <c r="M74" s="32">
        <f t="shared" si="12"/>
        <v>0</v>
      </c>
      <c r="N74" s="32">
        <f t="shared" si="13"/>
        <v>0</v>
      </c>
      <c r="O74" s="32">
        <f t="shared" si="14"/>
        <v>1</v>
      </c>
      <c r="P74" s="33"/>
      <c r="Q74" s="33"/>
      <c r="R74" s="33"/>
      <c r="S74" s="33">
        <v>0.8</v>
      </c>
      <c r="T74" s="29" t="s">
        <v>601</v>
      </c>
    </row>
    <row r="75" spans="1:20" ht="26.65" customHeight="1" x14ac:dyDescent="0.25">
      <c r="A75" s="30">
        <f>IF('事件总表（增强版）'!A75="","",ROW()-1)</f>
        <v>74</v>
      </c>
      <c r="B75" s="29" t="str">
        <f>IF('事件总表（增强版）'!A75="","",'事件总表（增强版）'!A75)</f>
        <v>发改委提出推动集成电路关键核心技术取得突破</v>
      </c>
      <c r="C75" s="29" t="str">
        <f>IF('事件总表（增强版）'!B75="","",'事件总表（增强版）'!B75)</f>
        <v>政策</v>
      </c>
      <c r="D75" s="31" t="str">
        <f>IF('事件总表（增强版）'!C75="","",'事件总表（增强版）'!C75)</f>
        <v>2026-04-07</v>
      </c>
      <c r="E75" s="32">
        <f>IF('事件总表（增强版）'!D75="","",'事件总表（增强版）'!D75)</f>
        <v>-1</v>
      </c>
      <c r="F75" s="32">
        <f>IF('事件总表（增强版）'!E75="","",'事件总表（增强版）'!E75)</f>
        <v>5</v>
      </c>
      <c r="G75" s="32">
        <f>IF('事件总表（增强版）'!A75="","",F75-E75+1)</f>
        <v>7</v>
      </c>
      <c r="H75" s="29" t="str">
        <f>IF('事件总表（增强版）'!F75="","",'事件总表（增强版）'!F75)</f>
        <v>低</v>
      </c>
      <c r="I75" s="32">
        <f t="shared" si="10"/>
        <v>1</v>
      </c>
      <c r="J75" s="32" t="str">
        <f>IF('事件总表（增强版）'!G75="","",'事件总表（增强版）'!G75)</f>
        <v>正面</v>
      </c>
      <c r="K75" s="32">
        <f t="shared" si="11"/>
        <v>1</v>
      </c>
      <c r="L75" s="32">
        <v>1</v>
      </c>
      <c r="M75" s="32">
        <f t="shared" si="12"/>
        <v>0</v>
      </c>
      <c r="N75" s="32">
        <f t="shared" si="13"/>
        <v>0</v>
      </c>
      <c r="O75" s="32">
        <f t="shared" si="14"/>
        <v>1</v>
      </c>
      <c r="P75" s="33"/>
      <c r="Q75" s="33"/>
      <c r="R75" s="33"/>
      <c r="S75" s="33">
        <v>1.6</v>
      </c>
      <c r="T75" s="29" t="s">
        <v>601</v>
      </c>
    </row>
    <row r="76" spans="1:20" ht="26.65" customHeight="1" x14ac:dyDescent="0.25">
      <c r="A76" s="30">
        <f>IF('事件总表（增强版）'!A76="","",ROW()-1)</f>
        <v>75</v>
      </c>
      <c r="B76" s="29" t="str">
        <f>IF('事件总表（增强版）'!A76="","",'事件总表（增强版）'!A76)</f>
        <v>上海港湾中标3.89亿元大连机场工程</v>
      </c>
      <c r="C76" s="29" t="str">
        <f>IF('事件总表（增强版）'!B76="","",'事件总表（增强版）'!B76)</f>
        <v>公司行为</v>
      </c>
      <c r="D76" s="31" t="str">
        <f>IF('事件总表（增强版）'!C76="","",'事件总表（增强版）'!C76)</f>
        <v>2024-05-24</v>
      </c>
      <c r="E76" s="32">
        <f>IF('事件总表（增强版）'!D76="","",'事件总表（增强版）'!D76)</f>
        <v>-1</v>
      </c>
      <c r="F76" s="32">
        <f>IF('事件总表（增强版）'!E76="","",'事件总表（增强版）'!E76)</f>
        <v>3</v>
      </c>
      <c r="G76" s="32">
        <f>IF('事件总表（增强版）'!A76="","",F76-E76+1)</f>
        <v>5</v>
      </c>
      <c r="H76" s="29" t="str">
        <f>IF('事件总表（增强版）'!F76="","",'事件总表（增强版）'!F76)</f>
        <v>中</v>
      </c>
      <c r="I76" s="32">
        <f t="shared" si="10"/>
        <v>2</v>
      </c>
      <c r="J76" s="32" t="str">
        <f>IF('事件总表（增强版）'!G76="","",'事件总表（增强版）'!G76)</f>
        <v>正面</v>
      </c>
      <c r="K76" s="32">
        <f t="shared" si="11"/>
        <v>1</v>
      </c>
      <c r="L76" s="32">
        <v>2</v>
      </c>
      <c r="M76" s="32">
        <f t="shared" si="12"/>
        <v>0</v>
      </c>
      <c r="N76" s="32">
        <f t="shared" si="13"/>
        <v>0</v>
      </c>
      <c r="O76" s="32">
        <f t="shared" si="14"/>
        <v>0</v>
      </c>
      <c r="P76" s="33"/>
      <c r="Q76" s="33"/>
      <c r="R76" s="33"/>
      <c r="S76" s="33">
        <v>5.2</v>
      </c>
      <c r="T76" s="29" t="s">
        <v>601</v>
      </c>
    </row>
    <row r="77" spans="1:20" ht="26.65" customHeight="1" x14ac:dyDescent="0.25">
      <c r="A77" s="30">
        <f>IF('事件总表（增强版）'!A77="","",ROW()-1)</f>
        <v>76</v>
      </c>
      <c r="B77" s="29" t="str">
        <f>IF('事件总表（增强版）'!A77="","",'事件总表（增强版）'!A77)</f>
        <v>松发股份跨界收购恒力重工重组预案</v>
      </c>
      <c r="C77" s="29" t="str">
        <f>IF('事件总表（增强版）'!B77="","",'事件总表（增强版）'!B77)</f>
        <v>公司行为</v>
      </c>
      <c r="D77" s="31" t="str">
        <f>IF('事件总表（增强版）'!C77="","",'事件总表（增强版）'!C77)</f>
        <v>2024-10-17</v>
      </c>
      <c r="E77" s="32">
        <f>IF('事件总表（增强版）'!D77="","",'事件总表（增强版）'!D77)</f>
        <v>-1</v>
      </c>
      <c r="F77" s="32">
        <f>IF('事件总表（增强版）'!E77="","",'事件总表（增强版）'!E77)</f>
        <v>3</v>
      </c>
      <c r="G77" s="32">
        <f>IF('事件总表（增强版）'!A77="","",F77-E77+1)</f>
        <v>5</v>
      </c>
      <c r="H77" s="29" t="str">
        <f>IF('事件总表（增强版）'!F77="","",'事件总表（增强版）'!F77)</f>
        <v>高</v>
      </c>
      <c r="I77" s="32">
        <f t="shared" si="10"/>
        <v>3</v>
      </c>
      <c r="J77" s="32" t="str">
        <f>IF('事件总表（增强版）'!G77="","",'事件总表（增强版）'!G77)</f>
        <v>正面</v>
      </c>
      <c r="K77" s="32">
        <f t="shared" si="11"/>
        <v>1</v>
      </c>
      <c r="L77" s="32">
        <v>3</v>
      </c>
      <c r="M77" s="32">
        <f t="shared" si="12"/>
        <v>0</v>
      </c>
      <c r="N77" s="32">
        <f t="shared" si="13"/>
        <v>0</v>
      </c>
      <c r="O77" s="32">
        <f t="shared" si="14"/>
        <v>0</v>
      </c>
      <c r="P77" s="33"/>
      <c r="Q77" s="33"/>
      <c r="R77" s="33"/>
      <c r="S77" s="33">
        <v>12.8</v>
      </c>
      <c r="T77" s="29" t="s">
        <v>601</v>
      </c>
    </row>
    <row r="78" spans="1:20" ht="26.65" customHeight="1" x14ac:dyDescent="0.25">
      <c r="A78" s="30">
        <f>IF('事件总表（增强版）'!A78="","",ROW()-1)</f>
        <v>77</v>
      </c>
      <c r="B78" s="29" t="str">
        <f>IF('事件总表（增强版）'!A78="","",'事件总表（增强版）'!A78)</f>
        <v>正丹股份2023年度净利润预增超110倍</v>
      </c>
      <c r="C78" s="29" t="str">
        <f>IF('事件总表（增强版）'!B78="","",'事件总表（增强版）'!B78)</f>
        <v>公司行为</v>
      </c>
      <c r="D78" s="31" t="str">
        <f>IF('事件总表（增强版）'!C78="","",'事件总表（增强版）'!C78)</f>
        <v>2024-01-20</v>
      </c>
      <c r="E78" s="32">
        <f>IF('事件总表（增强版）'!D78="","",'事件总表（增强版）'!D78)</f>
        <v>-1</v>
      </c>
      <c r="F78" s="32">
        <f>IF('事件总表（增强版）'!E78="","",'事件总表（增强版）'!E78)</f>
        <v>3</v>
      </c>
      <c r="G78" s="32">
        <f>IF('事件总表（增强版）'!A78="","",F78-E78+1)</f>
        <v>5</v>
      </c>
      <c r="H78" s="29" t="str">
        <f>IF('事件总表（增强版）'!F78="","",'事件总表（增强版）'!F78)</f>
        <v>高</v>
      </c>
      <c r="I78" s="32">
        <f t="shared" si="10"/>
        <v>3</v>
      </c>
      <c r="J78" s="32" t="str">
        <f>IF('事件总表（增强版）'!G78="","",'事件总表（增强版）'!G78)</f>
        <v>正面</v>
      </c>
      <c r="K78" s="32">
        <f t="shared" si="11"/>
        <v>1</v>
      </c>
      <c r="L78" s="32">
        <v>3</v>
      </c>
      <c r="M78" s="32">
        <f t="shared" si="12"/>
        <v>0</v>
      </c>
      <c r="N78" s="32">
        <f t="shared" si="13"/>
        <v>0</v>
      </c>
      <c r="O78" s="32">
        <f t="shared" si="14"/>
        <v>0</v>
      </c>
      <c r="P78" s="33"/>
      <c r="Q78" s="33"/>
      <c r="R78" s="33"/>
      <c r="S78" s="33">
        <v>18</v>
      </c>
      <c r="T78" s="29" t="s">
        <v>601</v>
      </c>
    </row>
    <row r="79" spans="1:20" ht="26.65" customHeight="1" x14ac:dyDescent="0.25">
      <c r="A79" s="30">
        <f>IF('事件总表（增强版）'!A79="","",ROW()-1)</f>
        <v>78</v>
      </c>
      <c r="B79" s="29" t="str">
        <f>IF('事件总表（增强版）'!A79="","",'事件总表（增强版）'!A79)</f>
        <v>中国船舶筹划吸收合并中国重工</v>
      </c>
      <c r="C79" s="29" t="str">
        <f>IF('事件总表（增强版）'!B79="","",'事件总表（增强版）'!B79)</f>
        <v>公司行为</v>
      </c>
      <c r="D79" s="31" t="str">
        <f>IF('事件总表（增强版）'!C79="","",'事件总表（增强版）'!C79)</f>
        <v>2024-09-03</v>
      </c>
      <c r="E79" s="32">
        <f>IF('事件总表（增强版）'!D79="","",'事件总表（增强版）'!D79)</f>
        <v>-1</v>
      </c>
      <c r="F79" s="32">
        <f>IF('事件总表（增强版）'!E79="","",'事件总表（增强版）'!E79)</f>
        <v>3</v>
      </c>
      <c r="G79" s="32">
        <f>IF('事件总表（增强版）'!A79="","",F79-E79+1)</f>
        <v>5</v>
      </c>
      <c r="H79" s="29" t="str">
        <f>IF('事件总表（增强版）'!F79="","",'事件总表（增强版）'!F79)</f>
        <v>高</v>
      </c>
      <c r="I79" s="32">
        <f t="shared" si="10"/>
        <v>3</v>
      </c>
      <c r="J79" s="32" t="str">
        <f>IF('事件总表（增强版）'!G79="","",'事件总表（增强版）'!G79)</f>
        <v>正面</v>
      </c>
      <c r="K79" s="32">
        <f t="shared" si="11"/>
        <v>1</v>
      </c>
      <c r="L79" s="32">
        <v>3</v>
      </c>
      <c r="M79" s="32">
        <f t="shared" si="12"/>
        <v>0</v>
      </c>
      <c r="N79" s="32">
        <f t="shared" si="13"/>
        <v>0</v>
      </c>
      <c r="O79" s="32">
        <f t="shared" si="14"/>
        <v>0</v>
      </c>
      <c r="P79" s="33"/>
      <c r="Q79" s="33"/>
      <c r="R79" s="33"/>
      <c r="S79" s="33">
        <v>11.5</v>
      </c>
      <c r="T79" s="29" t="s">
        <v>601</v>
      </c>
    </row>
    <row r="80" spans="1:20" ht="26.65" customHeight="1" x14ac:dyDescent="0.25">
      <c r="A80" s="30">
        <f>IF('事件总表（增强版）'!A80="","",ROW()-1)</f>
        <v>79</v>
      </c>
      <c r="B80" s="29" t="str">
        <f>IF('事件总表（增强版）'!A80="","",'事件总表（增强版）'!A80)</f>
        <v>振华重工签署14.61亿元海外大单</v>
      </c>
      <c r="C80" s="29" t="str">
        <f>IF('事件总表（增强版）'!B80="","",'事件总表（增强版）'!B80)</f>
        <v>公司行为</v>
      </c>
      <c r="D80" s="31" t="str">
        <f>IF('事件总表（增强版）'!C80="","",'事件总表（增强版）'!C80)</f>
        <v>2024-12-30</v>
      </c>
      <c r="E80" s="32">
        <f>IF('事件总表（增强版）'!D80="","",'事件总表（增强版）'!D80)</f>
        <v>-1</v>
      </c>
      <c r="F80" s="32">
        <f>IF('事件总表（增强版）'!E80="","",'事件总表（增强版）'!E80)</f>
        <v>3</v>
      </c>
      <c r="G80" s="32">
        <f>IF('事件总表（增强版）'!A80="","",F80-E80+1)</f>
        <v>5</v>
      </c>
      <c r="H80" s="29" t="str">
        <f>IF('事件总表（增强版）'!F80="","",'事件总表（增强版）'!F80)</f>
        <v>中</v>
      </c>
      <c r="I80" s="32">
        <f t="shared" si="10"/>
        <v>2</v>
      </c>
      <c r="J80" s="32" t="str">
        <f>IF('事件总表（增强版）'!G80="","",'事件总表（增强版）'!G80)</f>
        <v>正面</v>
      </c>
      <c r="K80" s="32">
        <f t="shared" si="11"/>
        <v>1</v>
      </c>
      <c r="L80" s="32">
        <v>2</v>
      </c>
      <c r="M80" s="32">
        <f t="shared" si="12"/>
        <v>0</v>
      </c>
      <c r="N80" s="32">
        <f t="shared" si="13"/>
        <v>0</v>
      </c>
      <c r="O80" s="32">
        <f t="shared" si="14"/>
        <v>0</v>
      </c>
      <c r="P80" s="33"/>
      <c r="Q80" s="33"/>
      <c r="R80" s="33"/>
      <c r="S80" s="33">
        <v>4.5999999999999996</v>
      </c>
      <c r="T80" s="29" t="s">
        <v>601</v>
      </c>
    </row>
    <row r="81" spans="1:20" ht="26.65" customHeight="1" x14ac:dyDescent="0.25">
      <c r="A81" s="30">
        <f>IF('事件总表（增强版）'!A81="","",ROW()-1)</f>
        <v>80</v>
      </c>
      <c r="B81" s="29" t="str">
        <f>IF('事件总表（增强版）'!A81="","",'事件总表（增强版）'!A81)</f>
        <v>中远海控三季报业绩大幅预增</v>
      </c>
      <c r="C81" s="29" t="str">
        <f>IF('事件总表（增强版）'!B81="","",'事件总表（增强版）'!B81)</f>
        <v>公司行为</v>
      </c>
      <c r="D81" s="31" t="str">
        <f>IF('事件总表（增强版）'!C81="","",'事件总表（增强版）'!C81)</f>
        <v>2024-10-08</v>
      </c>
      <c r="E81" s="32">
        <f>IF('事件总表（增强版）'!D81="","",'事件总表（增强版）'!D81)</f>
        <v>-1</v>
      </c>
      <c r="F81" s="32">
        <f>IF('事件总表（增强版）'!E81="","",'事件总表（增强版）'!E81)</f>
        <v>3</v>
      </c>
      <c r="G81" s="32">
        <f>IF('事件总表（增强版）'!A81="","",F81-E81+1)</f>
        <v>5</v>
      </c>
      <c r="H81" s="29" t="str">
        <f>IF('事件总表（增强版）'!F81="","",'事件总表（增强版）'!F81)</f>
        <v>高</v>
      </c>
      <c r="I81" s="32">
        <f t="shared" si="10"/>
        <v>3</v>
      </c>
      <c r="J81" s="32" t="str">
        <f>IF('事件总表（增强版）'!G81="","",'事件总表（增强版）'!G81)</f>
        <v>正面</v>
      </c>
      <c r="K81" s="32">
        <f t="shared" si="11"/>
        <v>1</v>
      </c>
      <c r="L81" s="32">
        <v>3</v>
      </c>
      <c r="M81" s="32">
        <f t="shared" si="12"/>
        <v>0</v>
      </c>
      <c r="N81" s="32">
        <f t="shared" si="13"/>
        <v>0</v>
      </c>
      <c r="O81" s="32">
        <f t="shared" si="14"/>
        <v>0</v>
      </c>
      <c r="P81" s="33"/>
      <c r="Q81" s="33"/>
      <c r="R81" s="33"/>
      <c r="S81" s="33">
        <v>8.5</v>
      </c>
      <c r="T81" s="29" t="s">
        <v>601</v>
      </c>
    </row>
    <row r="82" spans="1:20" ht="26.65" customHeight="1" x14ac:dyDescent="0.25">
      <c r="A82" s="30">
        <f>IF('事件总表（增强版）'!A82="","",ROW()-1)</f>
        <v>81</v>
      </c>
      <c r="B82" s="29" t="str">
        <f>IF('事件总表（增强版）'!A82="","",'事件总表（增强版）'!A82)</f>
        <v>惠而浦年度净利润大幅预增超122%</v>
      </c>
      <c r="C82" s="29" t="str">
        <f>IF('事件总表（增强版）'!B82="","",'事件总表（增强版）'!B82)</f>
        <v>公司行为</v>
      </c>
      <c r="D82" s="31" t="str">
        <f>IF('事件总表（增强版）'!C82="","",'事件总表（增强版）'!C82)</f>
        <v>2024-01-05</v>
      </c>
      <c r="E82" s="32">
        <f>IF('事件总表（增强版）'!D82="","",'事件总表（增强版）'!D82)</f>
        <v>-1</v>
      </c>
      <c r="F82" s="32">
        <f>IF('事件总表（增强版）'!E82="","",'事件总表（增强版）'!E82)</f>
        <v>3</v>
      </c>
      <c r="G82" s="32">
        <f>IF('事件总表（增强版）'!A82="","",F82-E82+1)</f>
        <v>5</v>
      </c>
      <c r="H82" s="29" t="str">
        <f>IF('事件总表（增强版）'!F82="","",'事件总表（增强版）'!F82)</f>
        <v>中</v>
      </c>
      <c r="I82" s="32">
        <f t="shared" si="10"/>
        <v>2</v>
      </c>
      <c r="J82" s="32" t="str">
        <f>IF('事件总表（增强版）'!G82="","",'事件总表（增强版）'!G82)</f>
        <v>正面</v>
      </c>
      <c r="K82" s="32">
        <f t="shared" si="11"/>
        <v>1</v>
      </c>
      <c r="L82" s="32">
        <v>2</v>
      </c>
      <c r="M82" s="32">
        <f t="shared" si="12"/>
        <v>0</v>
      </c>
      <c r="N82" s="32">
        <f t="shared" si="13"/>
        <v>0</v>
      </c>
      <c r="O82" s="32">
        <f t="shared" si="14"/>
        <v>0</v>
      </c>
      <c r="P82" s="33"/>
      <c r="Q82" s="33"/>
      <c r="R82" s="33"/>
      <c r="S82" s="33">
        <v>7.2</v>
      </c>
      <c r="T82" s="29" t="s">
        <v>601</v>
      </c>
    </row>
    <row r="83" spans="1:20" ht="26.65" customHeight="1" x14ac:dyDescent="0.25">
      <c r="A83" s="30">
        <f>IF('事件总表（增强版）'!A83="","",ROW()-1)</f>
        <v>82</v>
      </c>
      <c r="B83" s="29" t="str">
        <f>IF('事件总表（增强版）'!A83="","",'事件总表（增强版）'!A83)</f>
        <v>平高电气中标国家电网特高压大单</v>
      </c>
      <c r="C83" s="29" t="str">
        <f>IF('事件总表（增强版）'!B83="","",'事件总表（增强版）'!B83)</f>
        <v>公司行为</v>
      </c>
      <c r="D83" s="31" t="str">
        <f>IF('事件总表（增强版）'!C83="","",'事件总表（增强版）'!C83)</f>
        <v>2024-04-01</v>
      </c>
      <c r="E83" s="32">
        <f>IF('事件总表（增强版）'!D83="","",'事件总表（增强版）'!D83)</f>
        <v>-1</v>
      </c>
      <c r="F83" s="32">
        <f>IF('事件总表（增强版）'!E83="","",'事件总表（增强版）'!E83)</f>
        <v>3</v>
      </c>
      <c r="G83" s="32">
        <f>IF('事件总表（增强版）'!A83="","",F83-E83+1)</f>
        <v>5</v>
      </c>
      <c r="H83" s="29" t="str">
        <f>IF('事件总表（增强版）'!F83="","",'事件总表（增强版）'!F83)</f>
        <v>中</v>
      </c>
      <c r="I83" s="32">
        <f t="shared" si="10"/>
        <v>2</v>
      </c>
      <c r="J83" s="32" t="str">
        <f>IF('事件总表（增强版）'!G83="","",'事件总表（增强版）'!G83)</f>
        <v>正面</v>
      </c>
      <c r="K83" s="32">
        <f t="shared" si="11"/>
        <v>1</v>
      </c>
      <c r="L83" s="32">
        <v>2</v>
      </c>
      <c r="M83" s="32">
        <f t="shared" si="12"/>
        <v>0</v>
      </c>
      <c r="N83" s="32">
        <f t="shared" si="13"/>
        <v>0</v>
      </c>
      <c r="O83" s="32">
        <f t="shared" si="14"/>
        <v>0</v>
      </c>
      <c r="P83" s="33"/>
      <c r="Q83" s="33"/>
      <c r="R83" s="33"/>
      <c r="S83" s="33">
        <v>5.3</v>
      </c>
      <c r="T83" s="29" t="s">
        <v>601</v>
      </c>
    </row>
    <row r="84" spans="1:20" ht="26.65" customHeight="1" x14ac:dyDescent="0.25">
      <c r="A84" s="30">
        <f>IF('事件总表（增强版）'!A84="","",ROW()-1)</f>
        <v>83</v>
      </c>
      <c r="B84" s="29" t="str">
        <f>IF('事件总表（增强版）'!A84="","",'事件总表（增强版）'!A84)</f>
        <v>东方证券筹划购买上海证券股权</v>
      </c>
      <c r="C84" s="29" t="str">
        <f>IF('事件总表（增强版）'!B84="","",'事件总表（增强版）'!B84)</f>
        <v>公司行为</v>
      </c>
      <c r="D84" s="31" t="str">
        <f>IF('事件总表（增强版）'!C84="","",'事件总表（增强版）'!C84)</f>
        <v>2024-05-06</v>
      </c>
      <c r="E84" s="32">
        <f>IF('事件总表（增强版）'!D84="","",'事件总表（增强版）'!D84)</f>
        <v>-1</v>
      </c>
      <c r="F84" s="32">
        <f>IF('事件总表（增强版）'!E84="","",'事件总表（增强版）'!E84)</f>
        <v>3</v>
      </c>
      <c r="G84" s="32">
        <f>IF('事件总表（增强版）'!A84="","",F84-E84+1)</f>
        <v>5</v>
      </c>
      <c r="H84" s="29" t="str">
        <f>IF('事件总表（增强版）'!F84="","",'事件总表（增强版）'!F84)</f>
        <v>高</v>
      </c>
      <c r="I84" s="32">
        <f t="shared" si="10"/>
        <v>3</v>
      </c>
      <c r="J84" s="32" t="str">
        <f>IF('事件总表（增强版）'!G84="","",'事件总表（增强版）'!G84)</f>
        <v>正面</v>
      </c>
      <c r="K84" s="32">
        <f t="shared" si="11"/>
        <v>1</v>
      </c>
      <c r="L84" s="32">
        <v>3</v>
      </c>
      <c r="M84" s="32">
        <f t="shared" si="12"/>
        <v>0</v>
      </c>
      <c r="N84" s="32">
        <f t="shared" si="13"/>
        <v>0</v>
      </c>
      <c r="O84" s="32">
        <f t="shared" si="14"/>
        <v>0</v>
      </c>
      <c r="P84" s="33"/>
      <c r="Q84" s="33"/>
      <c r="R84" s="33"/>
      <c r="S84" s="33">
        <v>9.1999999999999993</v>
      </c>
      <c r="T84" s="29" t="s">
        <v>601</v>
      </c>
    </row>
    <row r="85" spans="1:20" ht="26.65" customHeight="1" x14ac:dyDescent="0.25">
      <c r="A85" s="30">
        <f>IF('事件总表（增强版）'!A85="","",ROW()-1)</f>
        <v>84</v>
      </c>
      <c r="B85" s="29" t="str">
        <f>IF('事件总表（增强版）'!A85="","",'事件总表（增强版）'!A85)</f>
        <v>睿创微纳年报业绩预增超93%</v>
      </c>
      <c r="C85" s="29" t="str">
        <f>IF('事件总表（增强版）'!B85="","",'事件总表（增强版）'!B85)</f>
        <v>公司行为</v>
      </c>
      <c r="D85" s="31" t="str">
        <f>IF('事件总表（增强版）'!C85="","",'事件总表（增强版）'!C85)</f>
        <v>2024-01-22</v>
      </c>
      <c r="E85" s="32">
        <f>IF('事件总表（增强版）'!D85="","",'事件总表（增强版）'!D85)</f>
        <v>-1</v>
      </c>
      <c r="F85" s="32">
        <f>IF('事件总表（增强版）'!E85="","",'事件总表（增强版）'!E85)</f>
        <v>3</v>
      </c>
      <c r="G85" s="32">
        <f>IF('事件总表（增强版）'!A85="","",F85-E85+1)</f>
        <v>5</v>
      </c>
      <c r="H85" s="29" t="str">
        <f>IF('事件总表（增强版）'!F85="","",'事件总表（增强版）'!F85)</f>
        <v>高</v>
      </c>
      <c r="I85" s="32">
        <f t="shared" si="10"/>
        <v>3</v>
      </c>
      <c r="J85" s="32" t="str">
        <f>IF('事件总表（增强版）'!G85="","",'事件总表（增强版）'!G85)</f>
        <v>正面</v>
      </c>
      <c r="K85" s="32">
        <f t="shared" si="11"/>
        <v>1</v>
      </c>
      <c r="L85" s="32">
        <v>3</v>
      </c>
      <c r="M85" s="32">
        <f t="shared" si="12"/>
        <v>0</v>
      </c>
      <c r="N85" s="32">
        <f t="shared" si="13"/>
        <v>0</v>
      </c>
      <c r="O85" s="32">
        <f t="shared" si="14"/>
        <v>0</v>
      </c>
      <c r="P85" s="33"/>
      <c r="Q85" s="33"/>
      <c r="R85" s="33"/>
      <c r="S85" s="33">
        <v>8.6999999999999993</v>
      </c>
      <c r="T85" s="29" t="s">
        <v>601</v>
      </c>
    </row>
    <row r="86" spans="1:20" ht="26.65" customHeight="1" x14ac:dyDescent="0.25">
      <c r="A86" s="30">
        <f>IF('事件总表（增强版）'!A86="","",ROW()-1)</f>
        <v>85</v>
      </c>
      <c r="B86" s="29" t="str">
        <f>IF('事件总表（增强版）'!A86="","",'事件总表（增强版）'!A86)</f>
        <v>光智科技拟重组收购先导电科</v>
      </c>
      <c r="C86" s="29" t="str">
        <f>IF('事件总表（增强版）'!B86="","",'事件总表（增强版）'!B86)</f>
        <v>公司行为</v>
      </c>
      <c r="D86" s="31" t="str">
        <f>IF('事件总表（增强版）'!C86="","",'事件总表（增强版）'!C86)</f>
        <v>2024-10-13</v>
      </c>
      <c r="E86" s="32">
        <f>IF('事件总表（增强版）'!D86="","",'事件总表（增强版）'!D86)</f>
        <v>-1</v>
      </c>
      <c r="F86" s="32">
        <f>IF('事件总表（增强版）'!E86="","",'事件总表（增强版）'!E86)</f>
        <v>3</v>
      </c>
      <c r="G86" s="32">
        <f>IF('事件总表（增强版）'!A86="","",F86-E86+1)</f>
        <v>5</v>
      </c>
      <c r="H86" s="29" t="str">
        <f>IF('事件总表（增强版）'!F86="","",'事件总表（增强版）'!F86)</f>
        <v>高</v>
      </c>
      <c r="I86" s="32">
        <f t="shared" si="10"/>
        <v>3</v>
      </c>
      <c r="J86" s="32" t="str">
        <f>IF('事件总表（增强版）'!G86="","",'事件总表（增强版）'!G86)</f>
        <v>正面</v>
      </c>
      <c r="K86" s="32">
        <f t="shared" si="11"/>
        <v>1</v>
      </c>
      <c r="L86" s="32">
        <v>3</v>
      </c>
      <c r="M86" s="32">
        <f t="shared" si="12"/>
        <v>0</v>
      </c>
      <c r="N86" s="32">
        <f t="shared" si="13"/>
        <v>0</v>
      </c>
      <c r="O86" s="32">
        <f t="shared" si="14"/>
        <v>0</v>
      </c>
      <c r="P86" s="33"/>
      <c r="Q86" s="33"/>
      <c r="R86" s="33"/>
      <c r="S86" s="33">
        <v>38</v>
      </c>
      <c r="T86" s="29" t="s">
        <v>601</v>
      </c>
    </row>
    <row r="87" spans="1:20" ht="26.65" customHeight="1" x14ac:dyDescent="0.25">
      <c r="A87" s="30">
        <f>IF('事件总表（增强版）'!A87="","",ROW()-1)</f>
        <v>86</v>
      </c>
      <c r="B87" s="29" t="str">
        <f>IF('事件总表（增强版）'!A87="","",'事件总表（增强版）'!A87)</f>
        <v>赛力斯年度业绩大幅扭亏为盈</v>
      </c>
      <c r="C87" s="29" t="str">
        <f>IF('事件总表（增强版）'!B87="","",'事件总表（增强版）'!B87)</f>
        <v>公司行为</v>
      </c>
      <c r="D87" s="31" t="str">
        <f>IF('事件总表（增强版）'!C87="","",'事件总表（增强版）'!C87)</f>
        <v>2024-01-24</v>
      </c>
      <c r="E87" s="32">
        <f>IF('事件总表（增强版）'!D87="","",'事件总表（增强版）'!D87)</f>
        <v>-1</v>
      </c>
      <c r="F87" s="32">
        <f>IF('事件总表（增强版）'!E87="","",'事件总表（增强版）'!E87)</f>
        <v>3</v>
      </c>
      <c r="G87" s="32">
        <f>IF('事件总表（增强版）'!A87="","",F87-E87+1)</f>
        <v>5</v>
      </c>
      <c r="H87" s="29" t="str">
        <f>IF('事件总表（增强版）'!F87="","",'事件总表（增强版）'!F87)</f>
        <v>高</v>
      </c>
      <c r="I87" s="32">
        <f t="shared" si="10"/>
        <v>3</v>
      </c>
      <c r="J87" s="32" t="str">
        <f>IF('事件总表（增强版）'!G87="","",'事件总表（增强版）'!G87)</f>
        <v>正面</v>
      </c>
      <c r="K87" s="32">
        <f t="shared" si="11"/>
        <v>1</v>
      </c>
      <c r="L87" s="32">
        <v>3</v>
      </c>
      <c r="M87" s="32">
        <f t="shared" si="12"/>
        <v>0</v>
      </c>
      <c r="N87" s="32">
        <f t="shared" si="13"/>
        <v>0</v>
      </c>
      <c r="O87" s="32">
        <f t="shared" si="14"/>
        <v>0</v>
      </c>
      <c r="P87" s="33"/>
      <c r="Q87" s="33"/>
      <c r="R87" s="33"/>
      <c r="S87" s="33">
        <v>10.5</v>
      </c>
      <c r="T87" s="29" t="s">
        <v>601</v>
      </c>
    </row>
    <row r="88" spans="1:20" ht="26.65" customHeight="1" x14ac:dyDescent="0.25">
      <c r="A88" s="30">
        <f>IF('事件总表（增强版）'!A88="","",ROW()-1)</f>
        <v>87</v>
      </c>
      <c r="B88" s="29" t="str">
        <f>IF('事件总表（增强版）'!A88="","",'事件总表（增强版）'!A88)</f>
        <v>百奥赛图年度业绩大幅预增超300%</v>
      </c>
      <c r="C88" s="29" t="str">
        <f>IF('事件总表（增强版）'!B88="","",'事件总表（增强版）'!B88)</f>
        <v>公司行为</v>
      </c>
      <c r="D88" s="31" t="str">
        <f>IF('事件总表（增强版）'!C88="","",'事件总表（增强版）'!C88)</f>
        <v>2024-01-15</v>
      </c>
      <c r="E88" s="32">
        <f>IF('事件总表（增强版）'!D88="","",'事件总表（增强版）'!D88)</f>
        <v>-1</v>
      </c>
      <c r="F88" s="32">
        <f>IF('事件总表（增强版）'!E88="","",'事件总表（增强版）'!E88)</f>
        <v>3</v>
      </c>
      <c r="G88" s="32">
        <f>IF('事件总表（增强版）'!A88="","",F88-E88+1)</f>
        <v>5</v>
      </c>
      <c r="H88" s="29" t="str">
        <f>IF('事件总表（增强版）'!F88="","",'事件总表（增强版）'!F88)</f>
        <v>中</v>
      </c>
      <c r="I88" s="32">
        <f t="shared" si="10"/>
        <v>2</v>
      </c>
      <c r="J88" s="32" t="str">
        <f>IF('事件总表（增强版）'!G88="","",'事件总表（增强版）'!G88)</f>
        <v>正面</v>
      </c>
      <c r="K88" s="32">
        <f t="shared" si="11"/>
        <v>1</v>
      </c>
      <c r="L88" s="32">
        <v>2</v>
      </c>
      <c r="M88" s="32">
        <f t="shared" si="12"/>
        <v>0</v>
      </c>
      <c r="N88" s="32">
        <f t="shared" si="13"/>
        <v>0</v>
      </c>
      <c r="O88" s="32">
        <f t="shared" si="14"/>
        <v>0</v>
      </c>
      <c r="P88" s="33"/>
      <c r="Q88" s="33"/>
      <c r="R88" s="33"/>
      <c r="S88" s="33">
        <v>6.8</v>
      </c>
      <c r="T88" s="29" t="s">
        <v>601</v>
      </c>
    </row>
    <row r="89" spans="1:20" ht="26.65" customHeight="1" x14ac:dyDescent="0.25">
      <c r="A89" s="30">
        <f>IF('事件总表（增强版）'!A89="","",ROW()-1)</f>
        <v>88</v>
      </c>
      <c r="B89" s="29" t="str">
        <f>IF('事件总表（增强版）'!A89="","",'事件总表（增强版）'!A89)</f>
        <v>隆基绿能签订百亿硅片长单合同</v>
      </c>
      <c r="C89" s="29" t="str">
        <f>IF('事件总表（增强版）'!B89="","",'事件总表（增强版）'!B89)</f>
        <v>公司行为</v>
      </c>
      <c r="D89" s="31" t="str">
        <f>IF('事件总表（增强版）'!C89="","",'事件总表（增强版）'!C89)</f>
        <v>2024-11-20</v>
      </c>
      <c r="E89" s="32">
        <f>IF('事件总表（增强版）'!D89="","",'事件总表（增强版）'!D89)</f>
        <v>-1</v>
      </c>
      <c r="F89" s="32">
        <f>IF('事件总表（增强版）'!E89="","",'事件总表（增强版）'!E89)</f>
        <v>3</v>
      </c>
      <c r="G89" s="32">
        <f>IF('事件总表（增强版）'!A89="","",F89-E89+1)</f>
        <v>5</v>
      </c>
      <c r="H89" s="29" t="str">
        <f>IF('事件总表（增强版）'!F89="","",'事件总表（增强版）'!F89)</f>
        <v>高</v>
      </c>
      <c r="I89" s="32">
        <f t="shared" si="10"/>
        <v>3</v>
      </c>
      <c r="J89" s="32" t="str">
        <f>IF('事件总表（增强版）'!G89="","",'事件总表（增强版）'!G89)</f>
        <v>正面</v>
      </c>
      <c r="K89" s="32">
        <f t="shared" si="11"/>
        <v>1</v>
      </c>
      <c r="L89" s="32">
        <v>3</v>
      </c>
      <c r="M89" s="32">
        <f t="shared" si="12"/>
        <v>0</v>
      </c>
      <c r="N89" s="32">
        <f t="shared" si="13"/>
        <v>0</v>
      </c>
      <c r="O89" s="32">
        <f t="shared" si="14"/>
        <v>0</v>
      </c>
      <c r="P89" s="33"/>
      <c r="Q89" s="33"/>
      <c r="R89" s="33"/>
      <c r="S89" s="33">
        <v>7.5</v>
      </c>
      <c r="T89" s="29" t="s">
        <v>601</v>
      </c>
    </row>
    <row r="90" spans="1:20" ht="26.65" customHeight="1" x14ac:dyDescent="0.25">
      <c r="A90" s="30">
        <f>IF('事件总表（增强版）'!A90="","",ROW()-1)</f>
        <v>89</v>
      </c>
      <c r="B90" s="29" t="str">
        <f>IF('事件总表（增强版）'!A90="","",'事件总表（增强版）'!A90)</f>
        <v>思瑞浦拟发行股份收购创芯微</v>
      </c>
      <c r="C90" s="29" t="str">
        <f>IF('事件总表（增强版）'!B90="","",'事件总表（增强版）'!B90)</f>
        <v>公司行为</v>
      </c>
      <c r="D90" s="31" t="str">
        <f>IF('事件总表（增强版）'!C90="","",'事件总表（增强版）'!C90)</f>
        <v>2024-09-15</v>
      </c>
      <c r="E90" s="32">
        <f>IF('事件总表（增强版）'!D90="","",'事件总表（增强版）'!D90)</f>
        <v>-1</v>
      </c>
      <c r="F90" s="32">
        <f>IF('事件总表（增强版）'!E90="","",'事件总表（增强版）'!E90)</f>
        <v>3</v>
      </c>
      <c r="G90" s="32">
        <f>IF('事件总表（增强版）'!A90="","",F90-E90+1)</f>
        <v>5</v>
      </c>
      <c r="H90" s="29" t="str">
        <f>IF('事件总表（增强版）'!F90="","",'事件总表（增强版）'!F90)</f>
        <v>中</v>
      </c>
      <c r="I90" s="32">
        <f t="shared" si="10"/>
        <v>2</v>
      </c>
      <c r="J90" s="32" t="str">
        <f>IF('事件总表（增强版）'!G90="","",'事件总表（增强版）'!G90)</f>
        <v>正面</v>
      </c>
      <c r="K90" s="32">
        <f t="shared" si="11"/>
        <v>1</v>
      </c>
      <c r="L90" s="32">
        <v>2</v>
      </c>
      <c r="M90" s="32">
        <f t="shared" si="12"/>
        <v>0</v>
      </c>
      <c r="N90" s="32">
        <f t="shared" si="13"/>
        <v>0</v>
      </c>
      <c r="O90" s="32">
        <f t="shared" si="14"/>
        <v>0</v>
      </c>
      <c r="P90" s="33"/>
      <c r="Q90" s="33"/>
      <c r="R90" s="33"/>
      <c r="S90" s="33">
        <v>6.2</v>
      </c>
      <c r="T90" s="29" t="s">
        <v>601</v>
      </c>
    </row>
    <row r="91" spans="1:20" ht="26.65" customHeight="1" x14ac:dyDescent="0.25">
      <c r="A91" s="30">
        <f>IF('事件总表（增强版）'!A91="","",ROW()-1)</f>
        <v>90</v>
      </c>
      <c r="B91" s="29" t="str">
        <f>IF('事件总表（增强版）'!A91="","",'事件总表（增强版）'!A91)</f>
        <v>北方华创一季度业绩大幅预增</v>
      </c>
      <c r="C91" s="29" t="str">
        <f>IF('事件总表（增强版）'!B91="","",'事件总表（增强版）'!B91)</f>
        <v>公司行为</v>
      </c>
      <c r="D91" s="31" t="str">
        <f>IF('事件总表（增强版）'!C91="","",'事件总表（增强版）'!C91)</f>
        <v>2024-04-12</v>
      </c>
      <c r="E91" s="32">
        <f>IF('事件总表（增强版）'!D91="","",'事件总表（增强版）'!D91)</f>
        <v>-1</v>
      </c>
      <c r="F91" s="32">
        <f>IF('事件总表（增强版）'!E91="","",'事件总表（增强版）'!E91)</f>
        <v>3</v>
      </c>
      <c r="G91" s="32">
        <f>IF('事件总表（增强版）'!A91="","",F91-E91+1)</f>
        <v>5</v>
      </c>
      <c r="H91" s="29" t="str">
        <f>IF('事件总表（增强版）'!F91="","",'事件总表（增强版）'!F91)</f>
        <v>高</v>
      </c>
      <c r="I91" s="32">
        <f t="shared" si="10"/>
        <v>3</v>
      </c>
      <c r="J91" s="32" t="str">
        <f>IF('事件总表（增强版）'!G91="","",'事件总表（增强版）'!G91)</f>
        <v>正面</v>
      </c>
      <c r="K91" s="32">
        <f t="shared" si="11"/>
        <v>1</v>
      </c>
      <c r="L91" s="32">
        <v>3</v>
      </c>
      <c r="M91" s="32">
        <f t="shared" si="12"/>
        <v>0</v>
      </c>
      <c r="N91" s="32">
        <f t="shared" si="13"/>
        <v>0</v>
      </c>
      <c r="O91" s="32">
        <f t="shared" si="14"/>
        <v>0</v>
      </c>
      <c r="P91" s="33"/>
      <c r="Q91" s="33"/>
      <c r="R91" s="33"/>
      <c r="S91" s="33">
        <v>9.8000000000000007</v>
      </c>
      <c r="T91" s="29" t="s">
        <v>601</v>
      </c>
    </row>
    <row r="92" spans="1:20" ht="26.65" customHeight="1" x14ac:dyDescent="0.25">
      <c r="A92" s="30">
        <f>IF('事件总表（增强版）'!A92="","",ROW()-1)</f>
        <v>91</v>
      </c>
      <c r="B92" s="29" t="str">
        <f>IF('事件总表（增强版）'!A92="","",'事件总表（增强版）'!A92)</f>
        <v>宁德时代签署欧洲知名车企定点大单</v>
      </c>
      <c r="C92" s="29" t="str">
        <f>IF('事件总表（增强版）'!B92="","",'事件总表（增强版）'!B92)</f>
        <v>公司行为</v>
      </c>
      <c r="D92" s="31" t="str">
        <f>IF('事件总表（增强版）'!C92="","",'事件总表（增强版）'!C92)</f>
        <v>2024-12-10</v>
      </c>
      <c r="E92" s="32">
        <f>IF('事件总表（增强版）'!D92="","",'事件总表（增强版）'!D92)</f>
        <v>-1</v>
      </c>
      <c r="F92" s="32">
        <f>IF('事件总表（增强版）'!E92="","",'事件总表（增强版）'!E92)</f>
        <v>3</v>
      </c>
      <c r="G92" s="32">
        <f>IF('事件总表（增强版）'!A92="","",F92-E92+1)</f>
        <v>5</v>
      </c>
      <c r="H92" s="29" t="str">
        <f>IF('事件总表（增强版）'!F92="","",'事件总表（增强版）'!F92)</f>
        <v>高</v>
      </c>
      <c r="I92" s="32">
        <f t="shared" si="10"/>
        <v>3</v>
      </c>
      <c r="J92" s="32" t="str">
        <f>IF('事件总表（增强版）'!G92="","",'事件总表（增强版）'!G92)</f>
        <v>正面</v>
      </c>
      <c r="K92" s="32">
        <f t="shared" si="11"/>
        <v>1</v>
      </c>
      <c r="L92" s="32">
        <v>3</v>
      </c>
      <c r="M92" s="32">
        <f t="shared" si="12"/>
        <v>0</v>
      </c>
      <c r="N92" s="32">
        <f t="shared" si="13"/>
        <v>0</v>
      </c>
      <c r="O92" s="32">
        <f t="shared" si="14"/>
        <v>0</v>
      </c>
      <c r="P92" s="33"/>
      <c r="Q92" s="33"/>
      <c r="R92" s="33"/>
      <c r="S92" s="33">
        <v>8</v>
      </c>
      <c r="T92" s="29" t="s">
        <v>601</v>
      </c>
    </row>
    <row r="93" spans="1:20" ht="26.65" customHeight="1" x14ac:dyDescent="0.25">
      <c r="A93" s="30">
        <f>IF('事件总表（增强版）'!A93="","",ROW()-1)</f>
        <v>92</v>
      </c>
      <c r="B93" s="29" t="str">
        <f>IF('事件总表（增强版）'!A93="","",'事件总表（增强版）'!A93)</f>
        <v>迈瑞医疗筹划跨国医疗器械收购</v>
      </c>
      <c r="C93" s="29" t="str">
        <f>IF('事件总表（增强版）'!B93="","",'事件总表（增强版）'!B93)</f>
        <v>公司行为</v>
      </c>
      <c r="D93" s="31" t="str">
        <f>IF('事件总表（增强版）'!C93="","",'事件总表（增强版）'!C93)</f>
        <v>2024-02-20</v>
      </c>
      <c r="E93" s="32">
        <f>IF('事件总表（增强版）'!D93="","",'事件总表（增强版）'!D93)</f>
        <v>-1</v>
      </c>
      <c r="F93" s="32">
        <f>IF('事件总表（增强版）'!E93="","",'事件总表（增强版）'!E93)</f>
        <v>3</v>
      </c>
      <c r="G93" s="32">
        <f>IF('事件总表（增强版）'!A93="","",F93-E93+1)</f>
        <v>5</v>
      </c>
      <c r="H93" s="29" t="str">
        <f>IF('事件总表（增强版）'!F93="","",'事件总表（增强版）'!F93)</f>
        <v>高</v>
      </c>
      <c r="I93" s="32">
        <f t="shared" si="10"/>
        <v>3</v>
      </c>
      <c r="J93" s="32" t="str">
        <f>IF('事件总表（增强版）'!G93="","",'事件总表（增强版）'!G93)</f>
        <v>正面</v>
      </c>
      <c r="K93" s="32">
        <f t="shared" si="11"/>
        <v>1</v>
      </c>
      <c r="L93" s="32">
        <v>3</v>
      </c>
      <c r="M93" s="32">
        <f t="shared" si="12"/>
        <v>0</v>
      </c>
      <c r="N93" s="32">
        <f t="shared" si="13"/>
        <v>0</v>
      </c>
      <c r="O93" s="32">
        <f t="shared" si="14"/>
        <v>0</v>
      </c>
      <c r="P93" s="33"/>
      <c r="Q93" s="33"/>
      <c r="R93" s="33"/>
      <c r="S93" s="33">
        <v>5.6</v>
      </c>
      <c r="T93" s="29" t="s">
        <v>601</v>
      </c>
    </row>
    <row r="94" spans="1:20" ht="26.65" customHeight="1" x14ac:dyDescent="0.25">
      <c r="A94" s="30">
        <f>IF('事件总表（增强版）'!A94="","",ROW()-1)</f>
        <v>93</v>
      </c>
      <c r="B94" s="29" t="str">
        <f>IF('事件总表（增强版）'!A94="","",'事件总表（增强版）'!A94)</f>
        <v>阳光电源年度业绩预告超预期</v>
      </c>
      <c r="C94" s="29" t="str">
        <f>IF('事件总表（增强版）'!B94="","",'事件总表（增强版）'!B94)</f>
        <v>公司行为</v>
      </c>
      <c r="D94" s="31" t="str">
        <f>IF('事件总表（增强版）'!C94="","",'事件总表（增强版）'!C94)</f>
        <v>2024-04-05</v>
      </c>
      <c r="E94" s="32">
        <f>IF('事件总表（增强版）'!D94="","",'事件总表（增强版）'!D94)</f>
        <v>-1</v>
      </c>
      <c r="F94" s="32">
        <f>IF('事件总表（增强版）'!E94="","",'事件总表（增强版）'!E94)</f>
        <v>3</v>
      </c>
      <c r="G94" s="32">
        <f>IF('事件总表（增强版）'!A94="","",F94-E94+1)</f>
        <v>5</v>
      </c>
      <c r="H94" s="29" t="str">
        <f>IF('事件总表（增强版）'!F94="","",'事件总表（增强版）'!F94)</f>
        <v>高</v>
      </c>
      <c r="I94" s="32">
        <f t="shared" si="10"/>
        <v>3</v>
      </c>
      <c r="J94" s="32" t="str">
        <f>IF('事件总表（增强版）'!G94="","",'事件总表（增强版）'!G94)</f>
        <v>正面</v>
      </c>
      <c r="K94" s="32">
        <f t="shared" si="11"/>
        <v>1</v>
      </c>
      <c r="L94" s="32">
        <v>3</v>
      </c>
      <c r="M94" s="32">
        <f t="shared" si="12"/>
        <v>0</v>
      </c>
      <c r="N94" s="32">
        <f t="shared" si="13"/>
        <v>0</v>
      </c>
      <c r="O94" s="32">
        <f t="shared" si="14"/>
        <v>0</v>
      </c>
      <c r="P94" s="33"/>
      <c r="Q94" s="33"/>
      <c r="R94" s="33"/>
      <c r="S94" s="33">
        <v>10.8</v>
      </c>
      <c r="T94" s="29" t="s">
        <v>601</v>
      </c>
    </row>
    <row r="95" spans="1:20" ht="26.65" customHeight="1" x14ac:dyDescent="0.25">
      <c r="A95" s="30">
        <f>IF('事件总表（增强版）'!A95="","",ROW()-1)</f>
        <v>94</v>
      </c>
      <c r="B95" s="29" t="str">
        <f>IF('事件总表（增强版）'!A95="","",'事件总表（增强版）'!A95)</f>
        <v>中兴通讯中标中移动5G集采大单</v>
      </c>
      <c r="C95" s="29" t="str">
        <f>IF('事件总表（增强版）'!B95="","",'事件总表（增强版）'!B95)</f>
        <v>公司行为</v>
      </c>
      <c r="D95" s="31" t="str">
        <f>IF('事件总表（增强版）'!C95="","",'事件总表（增强版）'!C95)</f>
        <v>2024-01-10</v>
      </c>
      <c r="E95" s="32">
        <f>IF('事件总表（增强版）'!D95="","",'事件总表（增强版）'!D95)</f>
        <v>-1</v>
      </c>
      <c r="F95" s="32">
        <f>IF('事件总表（增强版）'!E95="","",'事件总表（增强版）'!E95)</f>
        <v>3</v>
      </c>
      <c r="G95" s="32">
        <f>IF('事件总表（增强版）'!A95="","",F95-E95+1)</f>
        <v>5</v>
      </c>
      <c r="H95" s="29" t="str">
        <f>IF('事件总表（增强版）'!F95="","",'事件总表（增强版）'!F95)</f>
        <v>中</v>
      </c>
      <c r="I95" s="32">
        <f t="shared" si="10"/>
        <v>2</v>
      </c>
      <c r="J95" s="32" t="str">
        <f>IF('事件总表（增强版）'!G95="","",'事件总表（增强版）'!G95)</f>
        <v>正面</v>
      </c>
      <c r="K95" s="32">
        <f t="shared" si="11"/>
        <v>1</v>
      </c>
      <c r="L95" s="32">
        <v>2</v>
      </c>
      <c r="M95" s="32">
        <f t="shared" si="12"/>
        <v>0</v>
      </c>
      <c r="N95" s="32">
        <f t="shared" si="13"/>
        <v>0</v>
      </c>
      <c r="O95" s="32">
        <f t="shared" si="14"/>
        <v>0</v>
      </c>
      <c r="P95" s="33"/>
      <c r="Q95" s="33"/>
      <c r="R95" s="33"/>
      <c r="S95" s="33">
        <v>4.5</v>
      </c>
      <c r="T95" s="29" t="s">
        <v>601</v>
      </c>
    </row>
    <row r="96" spans="1:20" ht="26.65" customHeight="1" x14ac:dyDescent="0.25">
      <c r="A96" s="30">
        <f>IF('事件总表（增强版）'!A96="","",ROW()-1)</f>
        <v>95</v>
      </c>
      <c r="B96" s="29" t="str">
        <f>IF('事件总表（增强版）'!A96="","",'事件总表（增强版）'!A96)</f>
        <v>华润三九拟收购天士力控股权</v>
      </c>
      <c r="C96" s="29" t="str">
        <f>IF('事件总表（增强版）'!B96="","",'事件总表（增强版）'!B96)</f>
        <v>公司行为</v>
      </c>
      <c r="D96" s="31" t="str">
        <f>IF('事件总表（增强版）'!C96="","",'事件总表（增强版）'!C96)</f>
        <v>2024-08-10</v>
      </c>
      <c r="E96" s="32">
        <f>IF('事件总表（增强版）'!D96="","",'事件总表（增强版）'!D96)</f>
        <v>-1</v>
      </c>
      <c r="F96" s="32">
        <f>IF('事件总表（增强版）'!E96="","",'事件总表（增强版）'!E96)</f>
        <v>3</v>
      </c>
      <c r="G96" s="32">
        <f>IF('事件总表（增强版）'!A96="","",F96-E96+1)</f>
        <v>5</v>
      </c>
      <c r="H96" s="29" t="str">
        <f>IF('事件总表（增强版）'!F96="","",'事件总表（增强版）'!F96)</f>
        <v>高</v>
      </c>
      <c r="I96" s="32">
        <f t="shared" si="10"/>
        <v>3</v>
      </c>
      <c r="J96" s="32" t="str">
        <f>IF('事件总表（增强版）'!G96="","",'事件总表（增强版）'!G96)</f>
        <v>正面</v>
      </c>
      <c r="K96" s="32">
        <f t="shared" si="11"/>
        <v>1</v>
      </c>
      <c r="L96" s="32">
        <v>3</v>
      </c>
      <c r="M96" s="32">
        <f t="shared" si="12"/>
        <v>0</v>
      </c>
      <c r="N96" s="32">
        <f t="shared" si="13"/>
        <v>0</v>
      </c>
      <c r="O96" s="32">
        <f t="shared" si="14"/>
        <v>0</v>
      </c>
      <c r="P96" s="33"/>
      <c r="Q96" s="33"/>
      <c r="R96" s="33"/>
      <c r="S96" s="33">
        <v>8.6</v>
      </c>
      <c r="T96" s="29" t="s">
        <v>601</v>
      </c>
    </row>
    <row r="97" spans="1:20" ht="26.65" customHeight="1" x14ac:dyDescent="0.25">
      <c r="A97" s="30">
        <f>IF('事件总表（增强版）'!A97="","",ROW()-1)</f>
        <v>96</v>
      </c>
      <c r="B97" s="29" t="str">
        <f>IF('事件总表（增强版）'!A97="","",'事件总表（增强版）'!A97)</f>
        <v>传音控股年度业绩预增超60%</v>
      </c>
      <c r="C97" s="29" t="str">
        <f>IF('事件总表（增强版）'!B97="","",'事件总表（增强版）'!B97)</f>
        <v>公司行为</v>
      </c>
      <c r="D97" s="31" t="str">
        <f>IF('事件总表（增强版）'!C97="","",'事件总表（增强版）'!C97)</f>
        <v>2024-01-15</v>
      </c>
      <c r="E97" s="32">
        <f>IF('事件总表（增强版）'!D97="","",'事件总表（增强版）'!D97)</f>
        <v>-1</v>
      </c>
      <c r="F97" s="32">
        <f>IF('事件总表（增强版）'!E97="","",'事件总表（增强版）'!E97)</f>
        <v>3</v>
      </c>
      <c r="G97" s="32">
        <f>IF('事件总表（增强版）'!A97="","",F97-E97+1)</f>
        <v>5</v>
      </c>
      <c r="H97" s="29" t="str">
        <f>IF('事件总表（增强版）'!F97="","",'事件总表（增强版）'!F97)</f>
        <v>中</v>
      </c>
      <c r="I97" s="32">
        <f t="shared" si="10"/>
        <v>2</v>
      </c>
      <c r="J97" s="32" t="str">
        <f>IF('事件总表（增强版）'!G97="","",'事件总表（增强版）'!G97)</f>
        <v>正面</v>
      </c>
      <c r="K97" s="32">
        <f t="shared" si="11"/>
        <v>1</v>
      </c>
      <c r="L97" s="32">
        <v>2</v>
      </c>
      <c r="M97" s="32">
        <f t="shared" si="12"/>
        <v>0</v>
      </c>
      <c r="N97" s="32">
        <f t="shared" si="13"/>
        <v>0</v>
      </c>
      <c r="O97" s="32">
        <f t="shared" si="14"/>
        <v>0</v>
      </c>
      <c r="P97" s="33"/>
      <c r="Q97" s="33"/>
      <c r="R97" s="33"/>
      <c r="S97" s="33">
        <v>5.8</v>
      </c>
      <c r="T97" s="29" t="s">
        <v>601</v>
      </c>
    </row>
    <row r="98" spans="1:20" ht="26.65" customHeight="1" x14ac:dyDescent="0.25">
      <c r="A98" s="30">
        <f>IF('事件总表（增强版）'!A98="","",ROW()-1)</f>
        <v>97</v>
      </c>
      <c r="B98" s="29" t="str">
        <f>IF('事件总表（增强版）'!A98="","",'事件总表（增强版）'!A98)</f>
        <v>中国建筑连获海外百亿基建大单</v>
      </c>
      <c r="C98" s="29" t="str">
        <f>IF('事件总表（增强版）'!B98="","",'事件总表（增强版）'!B98)</f>
        <v>公司行为</v>
      </c>
      <c r="D98" s="31" t="str">
        <f>IF('事件总表（增强版）'!C98="","",'事件总表（增强版）'!C98)</f>
        <v>2024-10-20</v>
      </c>
      <c r="E98" s="32">
        <f>IF('事件总表（增强版）'!D98="","",'事件总表（增强版）'!D98)</f>
        <v>-1</v>
      </c>
      <c r="F98" s="32">
        <f>IF('事件总表（增强版）'!E98="","",'事件总表（增强版）'!E98)</f>
        <v>3</v>
      </c>
      <c r="G98" s="32">
        <f>IF('事件总表（增强版）'!A98="","",F98-E98+1)</f>
        <v>5</v>
      </c>
      <c r="H98" s="29" t="str">
        <f>IF('事件总表（增强版）'!F98="","",'事件总表（增强版）'!F98)</f>
        <v>中</v>
      </c>
      <c r="I98" s="32">
        <f t="shared" ref="I98:I100" si="15">IF(H98="高",3,IF(H98="中",2,IF(H98="低",1,"")))</f>
        <v>2</v>
      </c>
      <c r="J98" s="32" t="str">
        <f>IF('事件总表（增强版）'!G98="","",'事件总表（增强版）'!G98)</f>
        <v>正面</v>
      </c>
      <c r="K98" s="32">
        <f t="shared" ref="K98:K100" si="16">IF(J98="正面",1,IF(J98="负面",-1,IF(J98="双向",0,"")))</f>
        <v>1</v>
      </c>
      <c r="L98" s="32">
        <v>2</v>
      </c>
      <c r="M98" s="32">
        <f t="shared" si="12"/>
        <v>0</v>
      </c>
      <c r="N98" s="32">
        <f t="shared" si="13"/>
        <v>0</v>
      </c>
      <c r="O98" s="32">
        <f t="shared" si="14"/>
        <v>0</v>
      </c>
      <c r="P98" s="33"/>
      <c r="Q98" s="33"/>
      <c r="R98" s="33"/>
      <c r="S98" s="33">
        <v>4.2</v>
      </c>
      <c r="T98" s="29" t="s">
        <v>601</v>
      </c>
    </row>
    <row r="99" spans="1:20" ht="26.65" customHeight="1" x14ac:dyDescent="0.25">
      <c r="A99" s="30">
        <f>IF('事件总表（增强版）'!A99="","",ROW()-1)</f>
        <v>98</v>
      </c>
      <c r="B99" s="29" t="str">
        <f>IF('事件总表（增强版）'!A99="","",'事件总表（增强版）'!A99)</f>
        <v>盐湖股份筹划盐湖产业战略重组</v>
      </c>
      <c r="C99" s="29" t="str">
        <f>IF('事件总表（增强版）'!B99="","",'事件总表（增强版）'!B99)</f>
        <v>公司行为</v>
      </c>
      <c r="D99" s="31" t="str">
        <f>IF('事件总表（增强版）'!C99="","",'事件总表（增强版）'!C99)</f>
        <v>2024-03-12</v>
      </c>
      <c r="E99" s="32">
        <f>IF('事件总表（增强版）'!D99="","",'事件总表（增强版）'!D99)</f>
        <v>-1</v>
      </c>
      <c r="F99" s="32">
        <f>IF('事件总表（增强版）'!E99="","",'事件总表（增强版）'!E99)</f>
        <v>3</v>
      </c>
      <c r="G99" s="32">
        <f>IF('事件总表（增强版）'!A99="","",F99-E99+1)</f>
        <v>5</v>
      </c>
      <c r="H99" s="29" t="str">
        <f>IF('事件总表（增强版）'!F99="","",'事件总表（增强版）'!F99)</f>
        <v>高</v>
      </c>
      <c r="I99" s="32">
        <f t="shared" si="15"/>
        <v>3</v>
      </c>
      <c r="J99" s="32" t="str">
        <f>IF('事件总表（增强版）'!G99="","",'事件总表（增强版）'!G99)</f>
        <v>正面</v>
      </c>
      <c r="K99" s="32">
        <f t="shared" si="16"/>
        <v>1</v>
      </c>
      <c r="L99" s="32">
        <v>3</v>
      </c>
      <c r="M99" s="32">
        <f t="shared" si="12"/>
        <v>0</v>
      </c>
      <c r="N99" s="32">
        <f t="shared" si="13"/>
        <v>0</v>
      </c>
      <c r="O99" s="32">
        <f t="shared" si="14"/>
        <v>0</v>
      </c>
      <c r="P99" s="33"/>
      <c r="Q99" s="33"/>
      <c r="R99" s="33"/>
      <c r="S99" s="33">
        <v>9.5</v>
      </c>
      <c r="T99" s="29" t="s">
        <v>601</v>
      </c>
    </row>
    <row r="100" spans="1:20" ht="26.65" customHeight="1" x14ac:dyDescent="0.25">
      <c r="A100" s="30">
        <f>IF('事件总表（增强版）'!A100="","",ROW()-1)</f>
        <v>99</v>
      </c>
      <c r="B100" s="29" t="str">
        <f>IF('事件总表（增强版）'!A100="","",'事件总表（增强版）'!A100)</f>
        <v>潍柴动力一季报预增大幅提振商用车</v>
      </c>
      <c r="C100" s="29" t="str">
        <f>IF('事件总表（增强版）'!B100="","",'事件总表（增强版）'!B100)</f>
        <v>公司行为</v>
      </c>
      <c r="D100" s="31" t="str">
        <f>IF('事件总表（增强版）'!C100="","",'事件总表（增强版）'!C100)</f>
        <v>2024-04-08</v>
      </c>
      <c r="E100" s="32">
        <f>IF('事件总表（增强版）'!D100="","",'事件总表（增强版）'!D100)</f>
        <v>-1</v>
      </c>
      <c r="F100" s="32">
        <f>IF('事件总表（增强版）'!E100="","",'事件总表（增强版）'!E100)</f>
        <v>3</v>
      </c>
      <c r="G100" s="32">
        <f>IF('事件总表（增强版）'!A100="","",F100-E100+1)</f>
        <v>5</v>
      </c>
      <c r="H100" s="29" t="str">
        <f>IF('事件总表（增强版）'!F100="","",'事件总表（增强版）'!F100)</f>
        <v>中</v>
      </c>
      <c r="I100" s="32">
        <f t="shared" si="15"/>
        <v>2</v>
      </c>
      <c r="J100" s="32" t="str">
        <f>IF('事件总表（增强版）'!G100="","",'事件总表（增强版）'!G100)</f>
        <v>正面</v>
      </c>
      <c r="K100" s="32">
        <f t="shared" si="16"/>
        <v>1</v>
      </c>
      <c r="L100" s="32">
        <v>2</v>
      </c>
      <c r="M100" s="32">
        <f t="shared" si="12"/>
        <v>0</v>
      </c>
      <c r="N100" s="32">
        <f t="shared" si="13"/>
        <v>0</v>
      </c>
      <c r="O100" s="32">
        <f t="shared" si="14"/>
        <v>0</v>
      </c>
      <c r="P100" s="33"/>
      <c r="Q100" s="33"/>
      <c r="R100" s="33"/>
      <c r="S100" s="33">
        <v>5</v>
      </c>
      <c r="T100" s="29" t="s">
        <v>601</v>
      </c>
    </row>
  </sheetData>
  <phoneticPr fontId="20" type="noConversion"/>
  <conditionalFormatting sqref="S2:S10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T2:T100">
    <cfRule type="expression" dxfId="2" priority="2">
      <formula>LEFT(T2,4)="缺CAR"</formula>
    </cfRule>
    <cfRule type="expression" dxfId="1" priority="3">
      <formula>T2="完整"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opLeftCell="A31" workbookViewId="0">
      <selection activeCell="I30" sqref="I30"/>
    </sheetView>
  </sheetViews>
  <sheetFormatPr defaultRowHeight="14" x14ac:dyDescent="0.25"/>
  <cols>
    <col min="1" max="1" width="16" customWidth="1"/>
    <col min="2" max="2" width="8" customWidth="1"/>
    <col min="3" max="3" width="40" customWidth="1"/>
    <col min="4" max="4" width="13" customWidth="1"/>
    <col min="5" max="7" width="12" customWidth="1"/>
    <col min="8" max="8" width="10" customWidth="1"/>
    <col min="9" max="9" width="30" customWidth="1"/>
  </cols>
  <sheetData>
    <row r="1" spans="1:9" ht="18.649999999999999" customHeight="1" x14ac:dyDescent="0.25">
      <c r="A1" s="41" t="s">
        <v>602</v>
      </c>
      <c r="B1" s="42"/>
      <c r="C1" s="42"/>
      <c r="D1" s="42"/>
      <c r="E1" s="42"/>
      <c r="F1" s="42"/>
      <c r="G1" s="42"/>
      <c r="H1" s="42"/>
      <c r="I1" s="42"/>
    </row>
    <row r="2" spans="1:9" ht="17.399999999999999" customHeight="1" x14ac:dyDescent="0.25">
      <c r="A2" s="43" t="s">
        <v>603</v>
      </c>
      <c r="B2" s="43"/>
      <c r="C2" s="43"/>
      <c r="D2" s="43"/>
      <c r="E2" s="43"/>
      <c r="F2" s="43"/>
      <c r="G2" s="43"/>
      <c r="H2" s="43"/>
      <c r="I2" s="43"/>
    </row>
    <row r="3" spans="1:9" ht="17.399999999999999" customHeight="1" x14ac:dyDescent="0.25">
      <c r="A3" s="43"/>
      <c r="B3" s="43"/>
      <c r="C3" s="43"/>
      <c r="D3" s="43"/>
      <c r="E3" s="43"/>
      <c r="F3" s="43"/>
      <c r="G3" s="43"/>
      <c r="H3" s="43"/>
      <c r="I3" s="43"/>
    </row>
    <row r="4" spans="1:9" ht="17.399999999999999" customHeight="1" x14ac:dyDescent="0.25">
      <c r="A4" s="43"/>
      <c r="B4" s="43"/>
      <c r="C4" s="43"/>
      <c r="D4" s="43"/>
      <c r="E4" s="43"/>
      <c r="F4" s="43"/>
      <c r="G4" s="43"/>
      <c r="H4" s="43"/>
      <c r="I4" s="43"/>
    </row>
    <row r="6" spans="1:9" x14ac:dyDescent="0.25">
      <c r="A6" s="39" t="s">
        <v>604</v>
      </c>
      <c r="B6" s="39" t="s">
        <v>605</v>
      </c>
      <c r="C6" s="39" t="s">
        <v>571</v>
      </c>
      <c r="D6" s="39" t="s">
        <v>606</v>
      </c>
      <c r="E6" s="39" t="s">
        <v>607</v>
      </c>
      <c r="F6" s="39" t="s">
        <v>608</v>
      </c>
      <c r="G6" s="39" t="s">
        <v>609</v>
      </c>
      <c r="H6" s="39" t="s">
        <v>610</v>
      </c>
      <c r="I6" s="39" t="s">
        <v>611</v>
      </c>
    </row>
    <row r="7" spans="1:9" x14ac:dyDescent="0.25">
      <c r="A7" s="29" t="s">
        <v>593</v>
      </c>
      <c r="B7" s="29" t="s">
        <v>612</v>
      </c>
      <c r="C7" s="29" t="s">
        <v>613</v>
      </c>
      <c r="D7" s="34">
        <v>0.64249999999999996</v>
      </c>
      <c r="E7" s="32">
        <v>99</v>
      </c>
      <c r="F7" s="34">
        <v>8.2581000000000007</v>
      </c>
      <c r="G7" s="34">
        <v>0</v>
      </c>
      <c r="H7" s="29" t="s">
        <v>614</v>
      </c>
      <c r="I7" s="29" t="s">
        <v>615</v>
      </c>
    </row>
    <row r="8" spans="1:9" x14ac:dyDescent="0.25">
      <c r="A8" s="29" t="s">
        <v>594</v>
      </c>
      <c r="B8" s="29" t="s">
        <v>616</v>
      </c>
      <c r="C8" s="29" t="s">
        <v>617</v>
      </c>
      <c r="D8" s="34">
        <v>0.29849999999999999</v>
      </c>
      <c r="E8" s="32">
        <v>99</v>
      </c>
      <c r="F8" s="34">
        <v>3.0807000000000002</v>
      </c>
      <c r="G8" s="34">
        <v>2.7000000000000001E-3</v>
      </c>
      <c r="H8" s="29" t="s">
        <v>614</v>
      </c>
      <c r="I8" s="29" t="s">
        <v>615</v>
      </c>
    </row>
    <row r="9" spans="1:9" x14ac:dyDescent="0.25">
      <c r="A9" s="29" t="s">
        <v>595</v>
      </c>
      <c r="B9" s="29" t="s">
        <v>618</v>
      </c>
      <c r="C9" s="29" t="s">
        <v>619</v>
      </c>
      <c r="D9" s="34">
        <v>0.6704</v>
      </c>
      <c r="E9" s="32">
        <v>99</v>
      </c>
      <c r="F9" s="34">
        <v>8.8981999999999992</v>
      </c>
      <c r="G9" s="34">
        <v>0</v>
      </c>
      <c r="H9" s="29" t="s">
        <v>614</v>
      </c>
      <c r="I9" s="29" t="s">
        <v>615</v>
      </c>
    </row>
    <row r="10" spans="1:9" x14ac:dyDescent="0.25">
      <c r="A10" s="29" t="s">
        <v>592</v>
      </c>
      <c r="B10" s="29" t="s">
        <v>620</v>
      </c>
      <c r="C10" s="29" t="s">
        <v>621</v>
      </c>
      <c r="D10" s="34">
        <v>-0.31659999999999999</v>
      </c>
      <c r="E10" s="32">
        <v>99</v>
      </c>
      <c r="F10" s="34">
        <v>-3.2877000000000001</v>
      </c>
      <c r="G10" s="34">
        <v>1.4E-3</v>
      </c>
      <c r="H10" s="29" t="s">
        <v>614</v>
      </c>
      <c r="I10" s="29" t="s">
        <v>622</v>
      </c>
    </row>
    <row r="11" spans="1:9" x14ac:dyDescent="0.25">
      <c r="A11" s="29" t="s">
        <v>12</v>
      </c>
      <c r="B11" s="29" t="s">
        <v>623</v>
      </c>
      <c r="C11" s="29" t="s">
        <v>624</v>
      </c>
      <c r="D11" s="34">
        <v>-0.23380000000000001</v>
      </c>
      <c r="E11" s="32">
        <v>99</v>
      </c>
      <c r="F11" s="34">
        <v>-2.3677999999999999</v>
      </c>
      <c r="G11" s="34">
        <v>1.9900000000000001E-2</v>
      </c>
      <c r="H11" s="29" t="s">
        <v>614</v>
      </c>
      <c r="I11" s="29" t="s">
        <v>622</v>
      </c>
    </row>
    <row r="12" spans="1:9" x14ac:dyDescent="0.25">
      <c r="A12" s="29" t="s">
        <v>144</v>
      </c>
      <c r="B12" s="29" t="s">
        <v>625</v>
      </c>
      <c r="C12" s="29" t="s">
        <v>626</v>
      </c>
      <c r="D12" s="34">
        <v>4.8500000000000001E-2</v>
      </c>
      <c r="E12" s="32">
        <v>99</v>
      </c>
      <c r="F12" s="34">
        <v>0.47789999999999999</v>
      </c>
      <c r="G12" s="34">
        <v>0.63380000000000003</v>
      </c>
      <c r="H12" s="29" t="s">
        <v>627</v>
      </c>
      <c r="I12" s="29" t="s">
        <v>628</v>
      </c>
    </row>
    <row r="13" spans="1:9" x14ac:dyDescent="0.25">
      <c r="A13" s="29" t="s">
        <v>267</v>
      </c>
      <c r="B13" s="29" t="s">
        <v>629</v>
      </c>
      <c r="C13" s="29" t="s">
        <v>630</v>
      </c>
      <c r="D13" s="34">
        <v>-0.37469999999999998</v>
      </c>
      <c r="E13" s="32">
        <v>99</v>
      </c>
      <c r="F13" s="34">
        <v>-3.9807999999999999</v>
      </c>
      <c r="G13" s="34">
        <v>1E-4</v>
      </c>
      <c r="H13" s="29" t="s">
        <v>614</v>
      </c>
      <c r="I13" s="29" t="s">
        <v>622</v>
      </c>
    </row>
    <row r="14" spans="1:9" ht="28" x14ac:dyDescent="0.25">
      <c r="A14" s="29" t="s">
        <v>631</v>
      </c>
      <c r="B14" s="29" t="s">
        <v>632</v>
      </c>
      <c r="C14" s="29" t="s">
        <v>633</v>
      </c>
      <c r="D14" s="34" t="s">
        <v>634</v>
      </c>
      <c r="E14" s="32">
        <v>0</v>
      </c>
      <c r="F14" s="34"/>
      <c r="G14" s="34"/>
      <c r="H14" s="29" t="s">
        <v>635</v>
      </c>
      <c r="I14" s="29" t="s">
        <v>636</v>
      </c>
    </row>
    <row r="15" spans="1:9" ht="28" x14ac:dyDescent="0.25">
      <c r="A15" s="29" t="s">
        <v>637</v>
      </c>
      <c r="B15" s="29" t="s">
        <v>638</v>
      </c>
      <c r="C15" s="29" t="s">
        <v>639</v>
      </c>
      <c r="D15" s="34" t="s">
        <v>634</v>
      </c>
      <c r="E15" s="32">
        <v>0</v>
      </c>
      <c r="F15" s="34"/>
      <c r="G15" s="34"/>
      <c r="H15" s="29" t="s">
        <v>635</v>
      </c>
      <c r="I15" s="29" t="s">
        <v>636</v>
      </c>
    </row>
    <row r="16" spans="1:9" ht="28" x14ac:dyDescent="0.25">
      <c r="A16" s="29" t="s">
        <v>640</v>
      </c>
      <c r="B16" s="29" t="s">
        <v>641</v>
      </c>
      <c r="C16" s="29" t="s">
        <v>642</v>
      </c>
      <c r="D16" s="34" t="s">
        <v>634</v>
      </c>
      <c r="E16" s="32">
        <v>0</v>
      </c>
      <c r="F16" s="34"/>
      <c r="G16" s="34"/>
      <c r="H16" s="29" t="s">
        <v>635</v>
      </c>
      <c r="I16" s="29" t="s">
        <v>636</v>
      </c>
    </row>
    <row r="19" spans="1:9" x14ac:dyDescent="0.25">
      <c r="A19" s="44" t="s">
        <v>643</v>
      </c>
      <c r="B19" s="45"/>
      <c r="C19" s="45"/>
      <c r="D19" s="45"/>
      <c r="E19" s="45"/>
      <c r="F19" s="45"/>
      <c r="G19" s="45"/>
      <c r="H19" s="45"/>
      <c r="I19" s="45"/>
    </row>
    <row r="21" spans="1:9" ht="28" x14ac:dyDescent="0.25">
      <c r="A21" s="39" t="s">
        <v>644</v>
      </c>
      <c r="B21" s="39" t="s">
        <v>645</v>
      </c>
      <c r="C21" s="39" t="s">
        <v>607</v>
      </c>
      <c r="D21" s="39" t="s">
        <v>646</v>
      </c>
      <c r="E21" s="39" t="s">
        <v>647</v>
      </c>
      <c r="F21" s="39" t="s">
        <v>648</v>
      </c>
      <c r="G21" s="39" t="s">
        <v>649</v>
      </c>
      <c r="H21" s="39" t="s">
        <v>650</v>
      </c>
    </row>
    <row r="22" spans="1:9" ht="56" x14ac:dyDescent="0.25">
      <c r="A22" s="29" t="s">
        <v>5</v>
      </c>
      <c r="B22" s="29" t="s">
        <v>43</v>
      </c>
      <c r="C22" s="32">
        <v>24</v>
      </c>
      <c r="D22" s="33">
        <v>9.98</v>
      </c>
      <c r="E22" s="33">
        <v>8.65</v>
      </c>
      <c r="F22" s="33">
        <v>1</v>
      </c>
      <c r="G22" s="29" t="s">
        <v>651</v>
      </c>
      <c r="H22" s="29" t="s">
        <v>652</v>
      </c>
    </row>
    <row r="23" spans="1:9" ht="56" x14ac:dyDescent="0.25">
      <c r="A23" s="29" t="s">
        <v>5</v>
      </c>
      <c r="B23" s="29" t="s">
        <v>14</v>
      </c>
      <c r="C23" s="32">
        <v>32</v>
      </c>
      <c r="D23" s="33">
        <v>4.3099999999999996</v>
      </c>
      <c r="E23" s="33">
        <v>4.3499999999999996</v>
      </c>
      <c r="F23" s="33">
        <v>0.97</v>
      </c>
      <c r="G23" s="29" t="s">
        <v>653</v>
      </c>
      <c r="H23" s="29" t="s">
        <v>652</v>
      </c>
    </row>
    <row r="24" spans="1:9" ht="56" x14ac:dyDescent="0.25">
      <c r="A24" s="29" t="s">
        <v>5</v>
      </c>
      <c r="B24" s="29" t="s">
        <v>37</v>
      </c>
      <c r="C24" s="32">
        <v>43</v>
      </c>
      <c r="D24" s="33">
        <v>1.81</v>
      </c>
      <c r="E24" s="33">
        <v>1.5</v>
      </c>
      <c r="F24" s="33">
        <v>0.95</v>
      </c>
      <c r="G24" s="29" t="s">
        <v>654</v>
      </c>
      <c r="H24" s="29" t="s">
        <v>655</v>
      </c>
    </row>
    <row r="25" spans="1:9" ht="56" x14ac:dyDescent="0.25">
      <c r="A25" s="29" t="s">
        <v>6</v>
      </c>
      <c r="B25" s="29" t="s">
        <v>15</v>
      </c>
      <c r="C25" s="32">
        <v>95</v>
      </c>
      <c r="D25" s="33">
        <v>4.8899999999999997</v>
      </c>
      <c r="E25" s="33">
        <v>3.8</v>
      </c>
      <c r="F25" s="33">
        <v>1</v>
      </c>
      <c r="G25" s="29" t="s">
        <v>656</v>
      </c>
      <c r="H25" s="29" t="s">
        <v>652</v>
      </c>
    </row>
    <row r="26" spans="1:9" ht="56" x14ac:dyDescent="0.25">
      <c r="A26" s="29" t="s">
        <v>6</v>
      </c>
      <c r="B26" s="29" t="s">
        <v>74</v>
      </c>
      <c r="C26" s="32">
        <v>3</v>
      </c>
      <c r="D26" s="33">
        <v>-3.3</v>
      </c>
      <c r="E26" s="33">
        <v>-3.5</v>
      </c>
      <c r="F26" s="33">
        <v>0</v>
      </c>
      <c r="G26" s="29" t="s">
        <v>657</v>
      </c>
      <c r="H26" s="29" t="s">
        <v>658</v>
      </c>
    </row>
    <row r="27" spans="1:9" ht="56" x14ac:dyDescent="0.25">
      <c r="A27" s="29" t="s">
        <v>6</v>
      </c>
      <c r="B27" s="29" t="s">
        <v>89</v>
      </c>
      <c r="C27" s="32">
        <v>1</v>
      </c>
      <c r="D27" s="33">
        <v>0.6</v>
      </c>
      <c r="E27" s="33">
        <v>0.6</v>
      </c>
      <c r="F27" s="33">
        <v>1</v>
      </c>
      <c r="G27" s="29" t="s">
        <v>659</v>
      </c>
      <c r="H27" s="29" t="s">
        <v>655</v>
      </c>
    </row>
    <row r="28" spans="1:9" ht="56" x14ac:dyDescent="0.25">
      <c r="A28" s="29" t="s">
        <v>660</v>
      </c>
      <c r="B28" s="29" t="s">
        <v>12</v>
      </c>
      <c r="C28" s="32">
        <v>25</v>
      </c>
      <c r="D28" s="33">
        <v>2.63</v>
      </c>
      <c r="E28" s="33">
        <v>3.1</v>
      </c>
      <c r="F28" s="33">
        <v>0.88</v>
      </c>
      <c r="G28" s="29" t="s">
        <v>661</v>
      </c>
      <c r="H28" s="29" t="s">
        <v>655</v>
      </c>
    </row>
    <row r="29" spans="1:9" ht="56" x14ac:dyDescent="0.25">
      <c r="A29" s="29" t="s">
        <v>660</v>
      </c>
      <c r="B29" s="29" t="s">
        <v>144</v>
      </c>
      <c r="C29" s="32">
        <v>25</v>
      </c>
      <c r="D29" s="33">
        <v>5.01</v>
      </c>
      <c r="E29" s="33">
        <v>4</v>
      </c>
      <c r="F29" s="33">
        <v>1</v>
      </c>
      <c r="G29" s="29" t="s">
        <v>662</v>
      </c>
      <c r="H29" s="29" t="s">
        <v>652</v>
      </c>
    </row>
    <row r="30" spans="1:9" ht="56" x14ac:dyDescent="0.25">
      <c r="A30" s="29" t="s">
        <v>660</v>
      </c>
      <c r="B30" s="29" t="s">
        <v>267</v>
      </c>
      <c r="C30" s="32">
        <v>24</v>
      </c>
      <c r="D30" s="33">
        <v>1.36</v>
      </c>
      <c r="E30" s="33">
        <v>1.35</v>
      </c>
      <c r="F30" s="33">
        <v>1</v>
      </c>
      <c r="G30" s="29" t="s">
        <v>663</v>
      </c>
      <c r="H30" s="29" t="s">
        <v>655</v>
      </c>
    </row>
    <row r="31" spans="1:9" x14ac:dyDescent="0.25">
      <c r="A31" t="s">
        <v>660</v>
      </c>
      <c r="B31" t="s">
        <v>378</v>
      </c>
      <c r="C31">
        <v>25</v>
      </c>
      <c r="D31" s="38">
        <v>9.27</v>
      </c>
      <c r="E31" s="38">
        <v>8</v>
      </c>
      <c r="F31" s="38">
        <v>1</v>
      </c>
      <c r="G31" t="s">
        <v>664</v>
      </c>
      <c r="H31" t="s">
        <v>652</v>
      </c>
    </row>
    <row r="33" spans="1:9" x14ac:dyDescent="0.25">
      <c r="A33" s="46"/>
      <c r="B33" s="45"/>
      <c r="C33" s="45"/>
      <c r="D33" s="45"/>
      <c r="E33" s="45"/>
      <c r="F33" s="45"/>
      <c r="G33" s="45"/>
      <c r="H33" s="45"/>
      <c r="I33" s="45"/>
    </row>
    <row r="35" spans="1:9" ht="28" x14ac:dyDescent="0.25">
      <c r="A35" s="28"/>
      <c r="B35" s="28" t="s">
        <v>593</v>
      </c>
      <c r="C35" s="28" t="s">
        <v>594</v>
      </c>
      <c r="D35" s="28" t="s">
        <v>665</v>
      </c>
      <c r="E35" s="28" t="s">
        <v>592</v>
      </c>
      <c r="F35" s="28" t="s">
        <v>666</v>
      </c>
      <c r="G35" s="28" t="s">
        <v>637</v>
      </c>
      <c r="H35" s="28" t="s">
        <v>640</v>
      </c>
      <c r="I35" s="28" t="s">
        <v>667</v>
      </c>
    </row>
    <row r="36" spans="1:9" x14ac:dyDescent="0.25">
      <c r="A36" s="28" t="s">
        <v>593</v>
      </c>
      <c r="B36" s="35">
        <f>IF(SUMPRODUCT(--ISNUMBER(特征矩阵!$I$2:$I$100),--ISNUMBER(特征矩阵!$I$2:$I$100))&lt;3,"",CORREL(特征矩阵!$I$2:$I$100,特征矩阵!$I$2:$I$100))</f>
        <v>1</v>
      </c>
      <c r="C36" s="35">
        <f>IF(SUMPRODUCT(--ISNUMBER(特征矩阵!$I$2:$I$100),--ISNUMBER(特征矩阵!$K$2:$K$100))&lt;3,"",CORREL(特征矩阵!$I$2:$I$100,特征矩阵!$K$2:$K$100))</f>
        <v>0.1299107898763604</v>
      </c>
      <c r="D36" s="35">
        <f>IF(SUMPRODUCT(--ISNUMBER(特征矩阵!$I$2:$I$100),--ISNUMBER(特征矩阵!$L$2:$L$100))&lt;3,"",CORREL(特征矩阵!$I$2:$I$100,特征矩阵!$L$2:$L$100))</f>
        <v>0.86299743585123201</v>
      </c>
      <c r="E36" s="35">
        <f>IF(SUMPRODUCT(--ISNUMBER(特征矩阵!$I$2:$I$100),--ISNUMBER(特征矩阵!$G$2:$G$100))&lt;3,"",CORREL(特征矩阵!$I$2:$I$100,特征矩阵!$G$2:$G$100))</f>
        <v>-0.45077268816757909</v>
      </c>
      <c r="F36" s="35" t="str">
        <f>IF(SUMPRODUCT(--ISNUMBER(特征矩阵!$I$2:$I$100),--ISNUMBER(特征矩阵!$P$2:$P$100))&lt;3,"",CORREL(特征矩阵!$I$2:$I$100,特征矩阵!$P$2:$P$100))</f>
        <v/>
      </c>
      <c r="G36" s="35" t="str">
        <f>IF(SUMPRODUCT(--ISNUMBER(特征矩阵!$I$2:$I$100),--ISNUMBER(特征矩阵!$Q$2:$Q$100))&lt;3,"",CORREL(特征矩阵!$I$2:$I$100,特征矩阵!$Q$2:$Q$100))</f>
        <v/>
      </c>
      <c r="H36" s="35" t="str">
        <f>IF(SUMPRODUCT(--ISNUMBER(特征矩阵!$I$2:$I$100),--ISNUMBER(特征矩阵!$R$2:$R$100))&lt;3,"",CORREL(特征矩阵!$I$2:$I$100,特征矩阵!$R$2:$R$100))</f>
        <v/>
      </c>
      <c r="I36" s="35">
        <f>IF(SUMPRODUCT(--ISNUMBER(特征矩阵!$I$2:$I$100),--ISNUMBER(特征矩阵!$S$2:$S$100))&lt;3,"",CORREL(特征矩阵!$I$2:$I$100,特征矩阵!$S$2:$S$100))</f>
        <v>0.64251181105461919</v>
      </c>
    </row>
    <row r="37" spans="1:9" x14ac:dyDescent="0.25">
      <c r="A37" s="28" t="s">
        <v>594</v>
      </c>
      <c r="B37" s="35">
        <f>IF(SUMPRODUCT(--ISNUMBER(特征矩阵!$K$2:$K$100),--ISNUMBER(特征矩阵!$I$2:$I$100))&lt;3,"",CORREL(特征矩阵!$K$2:$K$100,特征矩阵!$I$2:$I$100))</f>
        <v>0.1299107898763604</v>
      </c>
      <c r="C37" s="35">
        <f>IF(SUMPRODUCT(--ISNUMBER(特征矩阵!$K$2:$K$100),--ISNUMBER(特征矩阵!$K$2:$K$100))&lt;3,"",CORREL(特征矩阵!$K$2:$K$100,特征矩阵!$K$2:$K$100))</f>
        <v>1</v>
      </c>
      <c r="D37" s="35">
        <f>IF(SUMPRODUCT(--ISNUMBER(特征矩阵!$K$2:$K$100),--ISNUMBER(特征矩阵!$L$2:$L$100))&lt;3,"",CORREL(特征矩阵!$K$2:$K$100,特征矩阵!$L$2:$L$100))</f>
        <v>0.58368053583758694</v>
      </c>
      <c r="E37" s="35">
        <f>IF(SUMPRODUCT(--ISNUMBER(特征矩阵!$K$2:$K$100),--ISNUMBER(特征矩阵!$G$2:$G$100))&lt;3,"",CORREL(特征矩阵!$K$2:$K$100,特征矩阵!$G$2:$G$100))</f>
        <v>4.2762472741027839E-2</v>
      </c>
      <c r="F37" s="35" t="str">
        <f>IF(SUMPRODUCT(--ISNUMBER(特征矩阵!$K$2:$K$100),--ISNUMBER(特征矩阵!$P$2:$P$100))&lt;3,"",CORREL(特征矩阵!$K$2:$K$100,特征矩阵!$P$2:$P$100))</f>
        <v/>
      </c>
      <c r="G37" s="35" t="str">
        <f>IF(SUMPRODUCT(--ISNUMBER(特征矩阵!$K$2:$K$100),--ISNUMBER(特征矩阵!$Q$2:$Q$100))&lt;3,"",CORREL(特征矩阵!$K$2:$K$100,特征矩阵!$Q$2:$Q$100))</f>
        <v/>
      </c>
      <c r="H37" s="35" t="str">
        <f>IF(SUMPRODUCT(--ISNUMBER(特征矩阵!$K$2:$K$100),--ISNUMBER(特征矩阵!$R$2:$R$100))&lt;3,"",CORREL(特征矩阵!$K$2:$K$100,特征矩阵!$R$2:$R$100))</f>
        <v/>
      </c>
      <c r="I37" s="35">
        <f>IF(SUMPRODUCT(--ISNUMBER(特征矩阵!$K$2:$K$100),--ISNUMBER(特征矩阵!$S$2:$S$100))&lt;3,"",CORREL(特征矩阵!$K$2:$K$100,特征矩阵!$S$2:$S$100))</f>
        <v>0.29852973122128612</v>
      </c>
    </row>
    <row r="38" spans="1:9" x14ac:dyDescent="0.25">
      <c r="A38" s="28" t="s">
        <v>665</v>
      </c>
      <c r="B38" s="35">
        <f>IF(SUMPRODUCT(--ISNUMBER(特征矩阵!$L$2:$L$100),--ISNUMBER(特征矩阵!$I$2:$I$100))&lt;3,"",CORREL(特征矩阵!$L$2:$L$100,特征矩阵!$I$2:$I$100))</f>
        <v>0.86299743585123201</v>
      </c>
      <c r="C38" s="35">
        <f>IF(SUMPRODUCT(--ISNUMBER(特征矩阵!$L$2:$L$100),--ISNUMBER(特征矩阵!$K$2:$K$100))&lt;3,"",CORREL(特征矩阵!$L$2:$L$100,特征矩阵!$K$2:$K$100))</f>
        <v>0.58368053583758694</v>
      </c>
      <c r="D38" s="35">
        <f>IF(SUMPRODUCT(--ISNUMBER(特征矩阵!$L$2:$L$100),--ISNUMBER(特征矩阵!$L$2:$L$100))&lt;3,"",CORREL(特征矩阵!$L$2:$L$100,特征矩阵!$L$2:$L$100))</f>
        <v>0.99999999999999989</v>
      </c>
      <c r="E38" s="35">
        <f>IF(SUMPRODUCT(--ISNUMBER(特征矩阵!$L$2:$L$100),--ISNUMBER(特征矩阵!$G$2:$G$100))&lt;3,"",CORREL(特征矩阵!$L$2:$L$100,特征矩阵!$G$2:$G$100))</f>
        <v>-0.34986226339346133</v>
      </c>
      <c r="F38" s="35" t="str">
        <f>IF(SUMPRODUCT(--ISNUMBER(特征矩阵!$L$2:$L$100),--ISNUMBER(特征矩阵!$P$2:$P$100))&lt;3,"",CORREL(特征矩阵!$L$2:$L$100,特征矩阵!$P$2:$P$100))</f>
        <v/>
      </c>
      <c r="G38" s="35" t="str">
        <f>IF(SUMPRODUCT(--ISNUMBER(特征矩阵!$L$2:$L$100),--ISNUMBER(特征矩阵!$Q$2:$Q$100))&lt;3,"",CORREL(特征矩阵!$L$2:$L$100,特征矩阵!$Q$2:$Q$100))</f>
        <v/>
      </c>
      <c r="H38" s="35" t="str">
        <f>IF(SUMPRODUCT(--ISNUMBER(特征矩阵!$L$2:$L$100),--ISNUMBER(特征矩阵!$R$2:$R$100))&lt;3,"",CORREL(特征矩阵!$L$2:$L$100,特征矩阵!$R$2:$R$100))</f>
        <v/>
      </c>
      <c r="I38" s="35">
        <f>IF(SUMPRODUCT(--ISNUMBER(特征矩阵!$L$2:$L$100),--ISNUMBER(特征矩阵!$S$2:$S$100))&lt;3,"",CORREL(特征矩阵!$L$2:$L$100,特征矩阵!$S$2:$S$100))</f>
        <v>0.67039009197893695</v>
      </c>
    </row>
    <row r="39" spans="1:9" x14ac:dyDescent="0.25">
      <c r="A39" s="28" t="s">
        <v>592</v>
      </c>
      <c r="B39" s="35">
        <f>IF(SUMPRODUCT(--ISNUMBER(特征矩阵!$G$2:$G$100),--ISNUMBER(特征矩阵!$I$2:$I$100))&lt;3,"",CORREL(特征矩阵!$G$2:$G$100,特征矩阵!$I$2:$I$100))</f>
        <v>-0.45077268816757909</v>
      </c>
      <c r="C39" s="35">
        <f>IF(SUMPRODUCT(--ISNUMBER(特征矩阵!$G$2:$G$100),--ISNUMBER(特征矩阵!$K$2:$K$100))&lt;3,"",CORREL(特征矩阵!$G$2:$G$100,特征矩阵!$K$2:$K$100))</f>
        <v>4.2762472741027839E-2</v>
      </c>
      <c r="D39" s="35">
        <f>IF(SUMPRODUCT(--ISNUMBER(特征矩阵!$G$2:$G$100),--ISNUMBER(特征矩阵!$L$2:$L$100))&lt;3,"",CORREL(特征矩阵!$G$2:$G$100,特征矩阵!$L$2:$L$100))</f>
        <v>-0.34986226339346133</v>
      </c>
      <c r="E39" s="35">
        <f>IF(SUMPRODUCT(--ISNUMBER(特征矩阵!$G$2:$G$100),--ISNUMBER(特征矩阵!$G$2:$G$100))&lt;3,"",CORREL(特征矩阵!$G$2:$G$100,特征矩阵!$G$2:$G$100))</f>
        <v>1</v>
      </c>
      <c r="F39" s="35" t="str">
        <f>IF(SUMPRODUCT(--ISNUMBER(特征矩阵!$G$2:$G$100),--ISNUMBER(特征矩阵!$P$2:$P$100))&lt;3,"",CORREL(特征矩阵!$G$2:$G$100,特征矩阵!$P$2:$P$100))</f>
        <v/>
      </c>
      <c r="G39" s="35" t="str">
        <f>IF(SUMPRODUCT(--ISNUMBER(特征矩阵!$G$2:$G$100),--ISNUMBER(特征矩阵!$Q$2:$Q$100))&lt;3,"",CORREL(特征矩阵!$G$2:$G$100,特征矩阵!$Q$2:$Q$100))</f>
        <v/>
      </c>
      <c r="H39" s="35" t="str">
        <f>IF(SUMPRODUCT(--ISNUMBER(特征矩阵!$G$2:$G$100),--ISNUMBER(特征矩阵!$R$2:$R$100))&lt;3,"",CORREL(特征矩阵!$G$2:$G$100,特征矩阵!$R$2:$R$100))</f>
        <v/>
      </c>
      <c r="I39" s="35">
        <f>IF(SUMPRODUCT(--ISNUMBER(特征矩阵!$G$2:$G$100),--ISNUMBER(特征矩阵!$S$2:$S$100))&lt;3,"",CORREL(特征矩阵!$G$2:$G$100,特征矩阵!$S$2:$S$100))</f>
        <v>-0.31664058276726054</v>
      </c>
    </row>
    <row r="40" spans="1:9" x14ac:dyDescent="0.25">
      <c r="A40" s="28" t="s">
        <v>666</v>
      </c>
      <c r="B40" s="35" t="str">
        <f>IF(SUMPRODUCT(--ISNUMBER(特征矩阵!$P$2:$P$100),--ISNUMBER(特征矩阵!$I$2:$I$100))&lt;3,"",CORREL(特征矩阵!$P$2:$P$100,特征矩阵!$I$2:$I$100))</f>
        <v/>
      </c>
      <c r="C40" s="35" t="str">
        <f>IF(SUMPRODUCT(--ISNUMBER(特征矩阵!$P$2:$P$100),--ISNUMBER(特征矩阵!$K$2:$K$100))&lt;3,"",CORREL(特征矩阵!$P$2:$P$100,特征矩阵!$K$2:$K$100))</f>
        <v/>
      </c>
      <c r="D40" s="35" t="str">
        <f>IF(SUMPRODUCT(--ISNUMBER(特征矩阵!$P$2:$P$100),--ISNUMBER(特征矩阵!$L$2:$L$100))&lt;3,"",CORREL(特征矩阵!$P$2:$P$100,特征矩阵!$L$2:$L$100))</f>
        <v/>
      </c>
      <c r="E40" s="35" t="str">
        <f>IF(SUMPRODUCT(--ISNUMBER(特征矩阵!$P$2:$P$100),--ISNUMBER(特征矩阵!$G$2:$G$100))&lt;3,"",CORREL(特征矩阵!$P$2:$P$100,特征矩阵!$G$2:$G$100))</f>
        <v/>
      </c>
      <c r="F40" s="35" t="str">
        <f>IF(SUMPRODUCT(--ISNUMBER(特征矩阵!$P$2:$P$100),--ISNUMBER(特征矩阵!$P$2:$P$100))&lt;3,"",CORREL(特征矩阵!$P$2:$P$100,特征矩阵!$P$2:$P$100))</f>
        <v/>
      </c>
      <c r="G40" s="35" t="str">
        <f>IF(SUMPRODUCT(--ISNUMBER(特征矩阵!$P$2:$P$100),--ISNUMBER(特征矩阵!$Q$2:$Q$100))&lt;3,"",CORREL(特征矩阵!$P$2:$P$100,特征矩阵!$Q$2:$Q$100))</f>
        <v/>
      </c>
      <c r="H40" s="35" t="str">
        <f>IF(SUMPRODUCT(--ISNUMBER(特征矩阵!$P$2:$P$100),--ISNUMBER(特征矩阵!$R$2:$R$100))&lt;3,"",CORREL(特征矩阵!$P$2:$P$100,特征矩阵!$R$2:$R$100))</f>
        <v/>
      </c>
      <c r="I40" s="35" t="str">
        <f>IF(SUMPRODUCT(--ISNUMBER(特征矩阵!$P$2:$P$100),--ISNUMBER(特征矩阵!$S$2:$S$100))&lt;3,"",CORREL(特征矩阵!$P$2:$P$100,特征矩阵!$S$2:$S$100))</f>
        <v/>
      </c>
    </row>
    <row r="41" spans="1:9" x14ac:dyDescent="0.25">
      <c r="A41" s="28" t="s">
        <v>637</v>
      </c>
      <c r="B41" s="35" t="str">
        <f>IF(SUMPRODUCT(--ISNUMBER(特征矩阵!$Q$2:$Q$100),--ISNUMBER(特征矩阵!$I$2:$I$100))&lt;3,"",CORREL(特征矩阵!$Q$2:$Q$100,特征矩阵!$I$2:$I$100))</f>
        <v/>
      </c>
      <c r="C41" s="35" t="str">
        <f>IF(SUMPRODUCT(--ISNUMBER(特征矩阵!$Q$2:$Q$100),--ISNUMBER(特征矩阵!$K$2:$K$100))&lt;3,"",CORREL(特征矩阵!$Q$2:$Q$100,特征矩阵!$K$2:$K$100))</f>
        <v/>
      </c>
      <c r="D41" s="35" t="str">
        <f>IF(SUMPRODUCT(--ISNUMBER(特征矩阵!$Q$2:$Q$100),--ISNUMBER(特征矩阵!$L$2:$L$100))&lt;3,"",CORREL(特征矩阵!$Q$2:$Q$100,特征矩阵!$L$2:$L$100))</f>
        <v/>
      </c>
      <c r="E41" s="35" t="str">
        <f>IF(SUMPRODUCT(--ISNUMBER(特征矩阵!$Q$2:$Q$100),--ISNUMBER(特征矩阵!$G$2:$G$100))&lt;3,"",CORREL(特征矩阵!$Q$2:$Q$100,特征矩阵!$G$2:$G$100))</f>
        <v/>
      </c>
      <c r="F41" s="35" t="str">
        <f>IF(SUMPRODUCT(--ISNUMBER(特征矩阵!$Q$2:$Q$100),--ISNUMBER(特征矩阵!$P$2:$P$100))&lt;3,"",CORREL(特征矩阵!$Q$2:$Q$100,特征矩阵!$P$2:$P$100))</f>
        <v/>
      </c>
      <c r="G41" s="35" t="str">
        <f>IF(SUMPRODUCT(--ISNUMBER(特征矩阵!$Q$2:$Q$100),--ISNUMBER(特征矩阵!$Q$2:$Q$100))&lt;3,"",CORREL(特征矩阵!$Q$2:$Q$100,特征矩阵!$Q$2:$Q$100))</f>
        <v/>
      </c>
      <c r="H41" s="35" t="str">
        <f>IF(SUMPRODUCT(--ISNUMBER(特征矩阵!$Q$2:$Q$100),--ISNUMBER(特征矩阵!$R$2:$R$100))&lt;3,"",CORREL(特征矩阵!$Q$2:$Q$100,特征矩阵!$R$2:$R$100))</f>
        <v/>
      </c>
      <c r="I41" s="35" t="str">
        <f>IF(SUMPRODUCT(--ISNUMBER(特征矩阵!$Q$2:$Q$100),--ISNUMBER(特征矩阵!$S$2:$S$100))&lt;3,"",CORREL(特征矩阵!$Q$2:$Q$100,特征矩阵!$S$2:$S$100))</f>
        <v/>
      </c>
    </row>
    <row r="42" spans="1:9" x14ac:dyDescent="0.25">
      <c r="A42" s="28" t="s">
        <v>640</v>
      </c>
      <c r="B42" s="35" t="str">
        <f>IF(SUMPRODUCT(--ISNUMBER(特征矩阵!$R$2:$R$100),--ISNUMBER(特征矩阵!$I$2:$I$100))&lt;3,"",CORREL(特征矩阵!$R$2:$R$100,特征矩阵!$I$2:$I$100))</f>
        <v/>
      </c>
      <c r="C42" s="35" t="str">
        <f>IF(SUMPRODUCT(--ISNUMBER(特征矩阵!$R$2:$R$100),--ISNUMBER(特征矩阵!$K$2:$K$100))&lt;3,"",CORREL(特征矩阵!$R$2:$R$100,特征矩阵!$K$2:$K$100))</f>
        <v/>
      </c>
      <c r="D42" s="35" t="str">
        <f>IF(SUMPRODUCT(--ISNUMBER(特征矩阵!$R$2:$R$100),--ISNUMBER(特征矩阵!$L$2:$L$100))&lt;3,"",CORREL(特征矩阵!$R$2:$R$100,特征矩阵!$L$2:$L$100))</f>
        <v/>
      </c>
      <c r="E42" s="35" t="str">
        <f>IF(SUMPRODUCT(--ISNUMBER(特征矩阵!$R$2:$R$100),--ISNUMBER(特征矩阵!$G$2:$G$100))&lt;3,"",CORREL(特征矩阵!$R$2:$R$100,特征矩阵!$G$2:$G$100))</f>
        <v/>
      </c>
      <c r="F42" s="35" t="str">
        <f>IF(SUMPRODUCT(--ISNUMBER(特征矩阵!$R$2:$R$100),--ISNUMBER(特征矩阵!$P$2:$P$100))&lt;3,"",CORREL(特征矩阵!$R$2:$R$100,特征矩阵!$P$2:$P$100))</f>
        <v/>
      </c>
      <c r="G42" s="35" t="str">
        <f>IF(SUMPRODUCT(--ISNUMBER(特征矩阵!$R$2:$R$100),--ISNUMBER(特征矩阵!$Q$2:$Q$100))&lt;3,"",CORREL(特征矩阵!$R$2:$R$100,特征矩阵!$Q$2:$Q$100))</f>
        <v/>
      </c>
      <c r="H42" s="35" t="str">
        <f>IF(SUMPRODUCT(--ISNUMBER(特征矩阵!$R$2:$R$100),--ISNUMBER(特征矩阵!$R$2:$R$100))&lt;3,"",CORREL(特征矩阵!$R$2:$R$100,特征矩阵!$R$2:$R$100))</f>
        <v/>
      </c>
      <c r="I42" s="35" t="str">
        <f>IF(SUMPRODUCT(--ISNUMBER(特征矩阵!$R$2:$R$100),--ISNUMBER(特征矩阵!$S$2:$S$100))&lt;3,"",CORREL(特征矩阵!$R$2:$R$100,特征矩阵!$S$2:$S$100))</f>
        <v/>
      </c>
    </row>
    <row r="43" spans="1:9" x14ac:dyDescent="0.25">
      <c r="A43" s="28" t="s">
        <v>667</v>
      </c>
      <c r="B43" s="35">
        <f>IF(SUMPRODUCT(--ISNUMBER(特征矩阵!$S$2:$S$100),--ISNUMBER(特征矩阵!$I$2:$I$100))&lt;3,"",CORREL(特征矩阵!$S$2:$S$100,特征矩阵!$I$2:$I$100))</f>
        <v>0.64251181105461919</v>
      </c>
      <c r="C43" s="35">
        <f>IF(SUMPRODUCT(--ISNUMBER(特征矩阵!$S$2:$S$100),--ISNUMBER(特征矩阵!$K$2:$K$100))&lt;3,"",CORREL(特征矩阵!$S$2:$S$100,特征矩阵!$K$2:$K$100))</f>
        <v>0.29852973122128612</v>
      </c>
      <c r="D43" s="35">
        <f>IF(SUMPRODUCT(--ISNUMBER(特征矩阵!$S$2:$S$100),--ISNUMBER(特征矩阵!$L$2:$L$100))&lt;3,"",CORREL(特征矩阵!$S$2:$S$100,特征矩阵!$L$2:$L$100))</f>
        <v>0.67039009197893695</v>
      </c>
      <c r="E43" s="35">
        <f>IF(SUMPRODUCT(--ISNUMBER(特征矩阵!$S$2:$S$100),--ISNUMBER(特征矩阵!$G$2:$G$100))&lt;3,"",CORREL(特征矩阵!$S$2:$S$100,特征矩阵!$G$2:$G$100))</f>
        <v>-0.31664058276726054</v>
      </c>
      <c r="F43" s="35" t="str">
        <f>IF(SUMPRODUCT(--ISNUMBER(特征矩阵!$S$2:$S$100),--ISNUMBER(特征矩阵!$P$2:$P$100))&lt;3,"",CORREL(特征矩阵!$S$2:$S$100,特征矩阵!$P$2:$P$100))</f>
        <v/>
      </c>
      <c r="G43" s="35" t="str">
        <f>IF(SUMPRODUCT(--ISNUMBER(特征矩阵!$S$2:$S$100),--ISNUMBER(特征矩阵!$Q$2:$Q$100))&lt;3,"",CORREL(特征矩阵!$S$2:$S$100,特征矩阵!$Q$2:$Q$100))</f>
        <v/>
      </c>
      <c r="H43" s="35" t="str">
        <f>IF(SUMPRODUCT(--ISNUMBER(特征矩阵!$S$2:$S$100),--ISNUMBER(特征矩阵!$R$2:$R$100))&lt;3,"",CORREL(特征矩阵!$S$2:$S$100,特征矩阵!$R$2:$R$100))</f>
        <v/>
      </c>
      <c r="I43" s="35">
        <f>IF(SUMPRODUCT(--ISNUMBER(特征矩阵!$S$2:$S$100),--ISNUMBER(特征矩阵!$S$2:$S$100))&lt;3,"",CORREL(特征矩阵!$S$2:$S$100,特征矩阵!$S$2:$S$100))</f>
        <v>1</v>
      </c>
    </row>
  </sheetData>
  <mergeCells count="4">
    <mergeCell ref="A1:I1"/>
    <mergeCell ref="A2:I4"/>
    <mergeCell ref="A19:I19"/>
    <mergeCell ref="A33:I33"/>
  </mergeCells>
  <phoneticPr fontId="20" type="noConversion"/>
  <conditionalFormatting sqref="B36:I43">
    <cfRule type="colorScale" priority="3">
      <colorScale>
        <cfvo type="min"/>
        <cfvo type="percentile" val="50"/>
        <cfvo type="max"/>
        <color rgb="FFFECACA"/>
        <color rgb="FFFFFFFF"/>
        <color rgb="FFDCFCE7"/>
      </colorScale>
    </cfRule>
  </conditionalFormatting>
  <conditionalFormatting sqref="D7:D16">
    <cfRule type="colorScale" priority="2">
      <colorScale>
        <cfvo type="min"/>
        <cfvo type="percentile" val="50"/>
        <cfvo type="max"/>
        <color rgb="FFFECACA"/>
        <color rgb="FFFFFFFF"/>
        <color rgb="FFDCFCE7"/>
      </colorScale>
    </cfRule>
  </conditionalFormatting>
  <conditionalFormatting sqref="G7:G16">
    <cfRule type="cellIs" dxfId="0" priority="1" operator="lessThan">
      <formula>0.05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tabSelected="1" workbookViewId="0">
      <selection activeCell="A14" sqref="A14"/>
    </sheetView>
  </sheetViews>
  <sheetFormatPr defaultRowHeight="14" x14ac:dyDescent="0.25"/>
  <cols>
    <col min="1" max="1" width="110" customWidth="1"/>
    <col min="2" max="8" width="10" customWidth="1"/>
  </cols>
  <sheetData>
    <row r="1" spans="1:8" ht="18.5" x14ac:dyDescent="0.3">
      <c r="A1" s="47" t="s">
        <v>668</v>
      </c>
      <c r="B1" s="45"/>
      <c r="C1" s="45"/>
      <c r="D1" s="45"/>
      <c r="E1" s="45"/>
      <c r="F1" s="45"/>
      <c r="G1" s="45"/>
      <c r="H1" s="45"/>
    </row>
    <row r="3" spans="1:8" ht="15" x14ac:dyDescent="0.25">
      <c r="A3" s="36"/>
    </row>
    <row r="4" spans="1:8" ht="18.649999999999999" customHeight="1" x14ac:dyDescent="0.25">
      <c r="A4" s="48"/>
      <c r="B4" s="48"/>
      <c r="C4" s="48"/>
      <c r="D4" s="48"/>
      <c r="E4" s="48"/>
      <c r="F4" s="48"/>
      <c r="G4" s="48"/>
      <c r="H4" s="48"/>
    </row>
    <row r="5" spans="1:8" ht="18.649999999999999" customHeight="1" x14ac:dyDescent="0.25">
      <c r="A5" s="48"/>
      <c r="B5" s="48"/>
      <c r="C5" s="48"/>
      <c r="D5" s="48"/>
      <c r="E5" s="48"/>
      <c r="F5" s="48"/>
      <c r="G5" s="48"/>
      <c r="H5" s="48"/>
    </row>
    <row r="6" spans="1:8" ht="18.649999999999999" customHeight="1" x14ac:dyDescent="0.25">
      <c r="A6" s="48"/>
      <c r="B6" s="48"/>
      <c r="C6" s="48"/>
      <c r="D6" s="48"/>
      <c r="E6" s="48"/>
      <c r="F6" s="48"/>
      <c r="G6" s="48"/>
      <c r="H6" s="48"/>
    </row>
    <row r="7" spans="1:8" ht="18.649999999999999" customHeight="1" x14ac:dyDescent="0.25">
      <c r="A7" s="48"/>
      <c r="B7" s="48"/>
      <c r="C7" s="48"/>
      <c r="D7" s="48"/>
      <c r="E7" s="48"/>
      <c r="F7" s="48"/>
      <c r="G7" s="48"/>
      <c r="H7" s="48"/>
    </row>
    <row r="9" spans="1:8" ht="15" x14ac:dyDescent="0.25">
      <c r="A9" s="36"/>
    </row>
    <row r="10" spans="1:8" x14ac:dyDescent="0.25">
      <c r="A10" s="49"/>
      <c r="B10" s="49"/>
      <c r="C10" s="49"/>
      <c r="D10" s="49"/>
      <c r="E10" s="49"/>
      <c r="F10" s="49"/>
      <c r="G10" s="49"/>
      <c r="H10" s="49"/>
    </row>
    <row r="11" spans="1:8" x14ac:dyDescent="0.25">
      <c r="A11" s="49"/>
      <c r="B11" s="49"/>
      <c r="C11" s="49"/>
      <c r="D11" s="49"/>
      <c r="E11" s="49"/>
      <c r="F11" s="49"/>
      <c r="G11" s="49"/>
      <c r="H11" s="49"/>
    </row>
    <row r="12" spans="1:8" x14ac:dyDescent="0.25">
      <c r="A12" s="49"/>
      <c r="B12" s="49"/>
      <c r="C12" s="49"/>
      <c r="D12" s="49"/>
      <c r="E12" s="49"/>
      <c r="F12" s="49"/>
      <c r="G12" s="49"/>
      <c r="H12" s="49"/>
    </row>
    <row r="14" spans="1:8" ht="15" x14ac:dyDescent="0.25">
      <c r="A14" s="40" t="s">
        <v>688</v>
      </c>
    </row>
    <row r="15" spans="1:8" ht="14.5" x14ac:dyDescent="0.3">
      <c r="A15" s="37" t="s">
        <v>504</v>
      </c>
    </row>
    <row r="16" spans="1:8" ht="14.5" x14ac:dyDescent="0.3">
      <c r="A16" s="37" t="s">
        <v>669</v>
      </c>
    </row>
    <row r="17" spans="1:1" ht="14.5" x14ac:dyDescent="0.3">
      <c r="A17" s="37"/>
    </row>
    <row r="18" spans="1:1" ht="14.5" x14ac:dyDescent="0.3">
      <c r="A18" s="37" t="s">
        <v>670</v>
      </c>
    </row>
    <row r="19" spans="1:1" ht="14.5" x14ac:dyDescent="0.3">
      <c r="A19" s="37"/>
    </row>
    <row r="20" spans="1:1" ht="14.5" x14ac:dyDescent="0.3">
      <c r="A20" s="37" t="s">
        <v>671</v>
      </c>
    </row>
    <row r="21" spans="1:1" ht="14.5" x14ac:dyDescent="0.3">
      <c r="A21" s="37" t="s">
        <v>672</v>
      </c>
    </row>
    <row r="22" spans="1:1" ht="14.5" x14ac:dyDescent="0.3">
      <c r="A22" s="37" t="s">
        <v>673</v>
      </c>
    </row>
    <row r="23" spans="1:1" ht="14.5" x14ac:dyDescent="0.3">
      <c r="A23" s="37"/>
    </row>
    <row r="24" spans="1:1" ht="14.5" x14ac:dyDescent="0.3">
      <c r="A24" s="37" t="s">
        <v>674</v>
      </c>
    </row>
    <row r="25" spans="1:1" ht="14.5" x14ac:dyDescent="0.3">
      <c r="A25" s="37" t="s">
        <v>675</v>
      </c>
    </row>
    <row r="26" spans="1:1" ht="14.5" x14ac:dyDescent="0.3">
      <c r="A26" s="37" t="s">
        <v>676</v>
      </c>
    </row>
    <row r="27" spans="1:1" ht="14.5" x14ac:dyDescent="0.3">
      <c r="A27" s="37" t="s">
        <v>677</v>
      </c>
    </row>
    <row r="28" spans="1:1" ht="14.5" x14ac:dyDescent="0.3">
      <c r="A28" s="37" t="s">
        <v>678</v>
      </c>
    </row>
    <row r="29" spans="1:1" ht="14.5" x14ac:dyDescent="0.3">
      <c r="A29" s="37" t="s">
        <v>679</v>
      </c>
    </row>
    <row r="30" spans="1:1" ht="14.5" x14ac:dyDescent="0.3">
      <c r="A30" s="37" t="s">
        <v>680</v>
      </c>
    </row>
    <row r="31" spans="1:1" ht="14.5" x14ac:dyDescent="0.3">
      <c r="A31" s="37" t="s">
        <v>681</v>
      </c>
    </row>
    <row r="32" spans="1:1" ht="14.5" x14ac:dyDescent="0.3">
      <c r="A32" s="37" t="s">
        <v>682</v>
      </c>
    </row>
    <row r="33" spans="1:1" ht="14.5" x14ac:dyDescent="0.3">
      <c r="A33" s="37" t="s">
        <v>683</v>
      </c>
    </row>
    <row r="34" spans="1:1" ht="14.5" x14ac:dyDescent="0.3">
      <c r="A34" s="37" t="s">
        <v>684</v>
      </c>
    </row>
    <row r="35" spans="1:1" ht="14.5" x14ac:dyDescent="0.3">
      <c r="A35" s="37"/>
    </row>
    <row r="36" spans="1:1" ht="14.5" x14ac:dyDescent="0.3">
      <c r="A36" s="37" t="s">
        <v>685</v>
      </c>
    </row>
    <row r="37" spans="1:1" ht="14.5" x14ac:dyDescent="0.3">
      <c r="A37" s="37" t="s">
        <v>686</v>
      </c>
    </row>
    <row r="38" spans="1:1" ht="14.5" x14ac:dyDescent="0.3">
      <c r="A38" s="37" t="s">
        <v>687</v>
      </c>
    </row>
  </sheetData>
  <mergeCells count="3">
    <mergeCell ref="A1:H1"/>
    <mergeCell ref="A4:H7"/>
    <mergeCell ref="A10:H12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事件总表（增强版）</vt:lpstr>
      <vt:lpstr>Python分析模板</vt:lpstr>
      <vt:lpstr>字段说明</vt:lpstr>
      <vt:lpstr>特征矩阵</vt:lpstr>
      <vt:lpstr>相关性分析</vt:lpstr>
      <vt:lpstr>论文写法与Python代码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Faker</dc:creator>
  <cp:lastModifiedBy>aker F</cp:lastModifiedBy>
  <dcterms:created xsi:type="dcterms:W3CDTF">2026-05-11T14:12:52Z</dcterms:created>
  <dcterms:modified xsi:type="dcterms:W3CDTF">2026-05-11T16:12:31Z</dcterms:modified>
</cp:coreProperties>
</file>